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JKT" sheetId="1" r:id="rId5"/>
    <sheet state="visible" name="BARCODE TJKT" sheetId="2" r:id="rId6"/>
    <sheet state="visible" name="MPLB" sheetId="3" r:id="rId7"/>
    <sheet state="visible" name="BARCODE MPLB" sheetId="4" r:id="rId8"/>
    <sheet state="visible" name="DKV" sheetId="5" r:id="rId9"/>
    <sheet state="visible" name="BARCODE DKV" sheetId="6" r:id="rId10"/>
    <sheet state="visible" name="AKL" sheetId="7" r:id="rId11"/>
    <sheet state="visible" name="BARCODE AKL" sheetId="8" r:id="rId12"/>
    <sheet state="visible" name="PM" sheetId="9" r:id="rId13"/>
    <sheet state="visible" name="BARCODE PM" sheetId="10" r:id="rId14"/>
    <sheet state="visible" name="SMP" sheetId="11" r:id="rId15"/>
    <sheet state="visible" name="BARCODE SMP" sheetId="12" r:id="rId16"/>
  </sheets>
  <definedNames>
    <definedName hidden="1" localSheetId="8" name="_xlnm._FilterDatabase">PM!$A$1:$T$36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">
      <text>
        <t xml:space="preserve">KEMUNGKINAN PSU RUSAK (PENGECEKAN ULANG UNTUK MEMASTIKAN)
</t>
      </text>
    </comment>
    <comment authorId="0" ref="L16">
      <text>
        <t xml:space="preserve">INSTAL ULANG WINDOWS 10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">
      <text>
        <t xml:space="preserve">HARUS INSTAL ULANG WINDOWS 1O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1">
      <text>
        <t xml:space="preserve">PSU MATI DAN MONITOR </t>
      </text>
    </comment>
    <comment authorId="0" ref="L6">
      <text>
        <t xml:space="preserve">PSU RUSAK DAN MONITOR MATI
</t>
      </text>
    </comment>
    <comment authorId="0" ref="L36">
      <text>
        <t xml:space="preserve">MONITOR RUSAK DAN PSU MATI</t>
      </text>
    </comment>
    <comment authorId="0" ref="L35">
      <text>
        <t xml:space="preserve">MONITOR MATI DAN PC BERMASALAH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7">
      <text>
        <t xml:space="preserve">SAMA SEPERTI PC 7 KEMUNGKINAN IC I/O RUSAK</t>
      </text>
    </comment>
    <comment authorId="0" ref="L26">
      <text>
        <t xml:space="preserve">PC HIDUP MASUK BIOS KARNA ADA MASALAH DI CPU FAN NYA HARUS GANTI CPU FAN 
BOOTING JUGA TETAP KE BIOS DAN MUNCUL WARNING</t>
      </text>
    </comment>
    <comment authorId="0" ref="C32">
      <text>
        <t xml:space="preserve">PC KHUSUS GURU
</t>
      </text>
    </comment>
    <comment authorId="0" ref="L8">
      <text>
        <t xml:space="preserve">KEMUNGKINAN IC I/O BERMASALAH KARNA TOMBOL POWER TIDAK BISA.
SUDAH LAKUKAN JUMPER JUGA SAMA TAPI INDIKATOR LISTRIK KE MOTHERBOARD AMAN 
PERLU PENGECEKAN LEBIH LANJUT LAGI
</t>
      </text>
    </comment>
  </commentList>
</comments>
</file>

<file path=xl/sharedStrings.xml><?xml version="1.0" encoding="utf-8"?>
<sst xmlns="http://schemas.openxmlformats.org/spreadsheetml/2006/main" count="2435" uniqueCount="401">
  <si>
    <t>NO</t>
  </si>
  <si>
    <t>KODE ASET</t>
  </si>
  <si>
    <t>NAMA PC</t>
  </si>
  <si>
    <t>PROSESOR</t>
  </si>
  <si>
    <t>RAM</t>
  </si>
  <si>
    <t>STORAGE</t>
  </si>
  <si>
    <t>OS</t>
  </si>
  <si>
    <t>KEYBOARD</t>
  </si>
  <si>
    <t>MOUSE</t>
  </si>
  <si>
    <t>MONITOR</t>
  </si>
  <si>
    <t>MEREK CASING</t>
  </si>
  <si>
    <t>KONDISI</t>
  </si>
  <si>
    <t>Motherboard</t>
  </si>
  <si>
    <t>LOKASI</t>
  </si>
  <si>
    <t>TAHUN PENGADAAN</t>
  </si>
  <si>
    <t>TANGGAL PENDATAAN</t>
  </si>
  <si>
    <t>PETUGAS PENDATA</t>
  </si>
  <si>
    <t>FOTO</t>
  </si>
  <si>
    <t>CATATAN</t>
  </si>
  <si>
    <t>BARCODE</t>
  </si>
  <si>
    <t>PC 1</t>
  </si>
  <si>
    <t>-</t>
  </si>
  <si>
    <t xml:space="preserve"> INTEL CORE i5-3470</t>
  </si>
  <si>
    <t>8 GB</t>
  </si>
  <si>
    <t>1HGJ5PE</t>
  </si>
  <si>
    <t>500 GB</t>
  </si>
  <si>
    <t>WINDOWS 10</t>
  </si>
  <si>
    <t>i5-2400</t>
  </si>
  <si>
    <t>LOGITECH</t>
  </si>
  <si>
    <t>128 GB</t>
  </si>
  <si>
    <t>LG 19 INCH</t>
  </si>
  <si>
    <t>SIMBADDA</t>
  </si>
  <si>
    <t>MONITOR MATI</t>
  </si>
  <si>
    <t>ASUSTEK H61M-K</t>
  </si>
  <si>
    <t>SAMSUNG 19 INCH</t>
  </si>
  <si>
    <t>DAZUMBA</t>
  </si>
  <si>
    <t>BAIK</t>
  </si>
  <si>
    <t>ASUS H61M-K</t>
  </si>
  <si>
    <t>LAB TJKT</t>
  </si>
  <si>
    <t>Joko</t>
  </si>
  <si>
    <t>PC 2</t>
  </si>
  <si>
    <t>KEB1R91</t>
  </si>
  <si>
    <t>4.00GB</t>
  </si>
  <si>
    <t>119GB V-GEN</t>
  </si>
  <si>
    <t>VARRO</t>
  </si>
  <si>
    <t>PC 3</t>
  </si>
  <si>
    <t>MATI</t>
  </si>
  <si>
    <t>ETNE740</t>
  </si>
  <si>
    <t>4 GB</t>
  </si>
  <si>
    <t xml:space="preserve">WINDOWS </t>
  </si>
  <si>
    <t>VARRO 19 INCH</t>
  </si>
  <si>
    <t xml:space="preserve">MONITOR MATI </t>
  </si>
  <si>
    <t>WINDOWS-PJPV946</t>
  </si>
  <si>
    <t>INTEL CORE i3-2120</t>
  </si>
  <si>
    <t>PC 4</t>
  </si>
  <si>
    <t>4.00 GB</t>
  </si>
  <si>
    <t>119 GB</t>
  </si>
  <si>
    <t>SAMSUNG 19 INC</t>
  </si>
  <si>
    <t>INTEL COPPORATION H61</t>
  </si>
  <si>
    <t>GUDANG</t>
  </si>
  <si>
    <t>PC 5</t>
  </si>
  <si>
    <t>DEUSTOR-TOEETF7</t>
  </si>
  <si>
    <t>INTEL CORE  i5-3470</t>
  </si>
  <si>
    <t>WINDOWS-QP2DIN5</t>
  </si>
  <si>
    <t>INTEL CORE i5-2400</t>
  </si>
  <si>
    <t>8.00</t>
  </si>
  <si>
    <t>112 GB</t>
  </si>
  <si>
    <t>SIMBADA</t>
  </si>
  <si>
    <t>PC 6</t>
  </si>
  <si>
    <t>DEKSTOP-3UVU8</t>
  </si>
  <si>
    <t>LG</t>
  </si>
  <si>
    <t>WINDOWS-5SNV95A</t>
  </si>
  <si>
    <t>4.GB</t>
  </si>
  <si>
    <t>PC 7</t>
  </si>
  <si>
    <t>DEKSTOP-7A5BC8G</t>
  </si>
  <si>
    <t>WINDOWS-5RV5JCM</t>
  </si>
  <si>
    <t>INTEL CORE i3-2121</t>
  </si>
  <si>
    <t>221 GB</t>
  </si>
  <si>
    <t>PC 8</t>
  </si>
  <si>
    <t>FIERCE WARS</t>
  </si>
  <si>
    <t>GIGABYTE TECHNOLOGY H8 1M-D52</t>
  </si>
  <si>
    <t>PSU RUSAK</t>
  </si>
  <si>
    <t>PC 9</t>
  </si>
  <si>
    <t>DEKSTOP-4KSO561</t>
  </si>
  <si>
    <t>i3-3240</t>
  </si>
  <si>
    <t>LG 19 INC</t>
  </si>
  <si>
    <t>SIMCOOL</t>
  </si>
  <si>
    <t>PORT USB RUSAK</t>
  </si>
  <si>
    <t>GIGABYTE H61M-S2P-R3</t>
  </si>
  <si>
    <t>PC 10</t>
  </si>
  <si>
    <t>DESKTOP-H39FJ93</t>
  </si>
  <si>
    <t>PC 11</t>
  </si>
  <si>
    <t>DEKSTOP-NLH 7QNO</t>
  </si>
  <si>
    <t>PC 12</t>
  </si>
  <si>
    <t>DESKTOP-N2C3CIH</t>
  </si>
  <si>
    <t>WINDOWS-U3L4OMR</t>
  </si>
  <si>
    <t>INTEL (R) PENTIUM (R)</t>
  </si>
  <si>
    <t>125 GB</t>
  </si>
  <si>
    <t>LENOVO 19 INC</t>
  </si>
  <si>
    <t>PC 13</t>
  </si>
  <si>
    <t>DEKSTOP-2F4CQIH</t>
  </si>
  <si>
    <t>GIGABYTE TECHNOLOGY H61M</t>
  </si>
  <si>
    <t>PC 14</t>
  </si>
  <si>
    <t>DEKSTOP-T94E7JB</t>
  </si>
  <si>
    <t>WINDOWS-V52GKJV</t>
  </si>
  <si>
    <t>INTEL CORE i5-2500</t>
  </si>
  <si>
    <t>PC 15</t>
  </si>
  <si>
    <t>DEKSTOP-GTGKMGI</t>
  </si>
  <si>
    <t>IPL 3J00</t>
  </si>
  <si>
    <t>PC 16</t>
  </si>
  <si>
    <t>DEKSTOP-2GAAOC2</t>
  </si>
  <si>
    <t>WINDOWS-K17JJFJ</t>
  </si>
  <si>
    <t>INTEL CORE i3-4170</t>
  </si>
  <si>
    <t>PC 17</t>
  </si>
  <si>
    <t>932 GB</t>
  </si>
  <si>
    <t>0173GEK</t>
  </si>
  <si>
    <t>GIGABYTE H81M-D52</t>
  </si>
  <si>
    <t>PC 18</t>
  </si>
  <si>
    <t>P1SUTGN</t>
  </si>
  <si>
    <t>WINDOWS-HJ6G9G</t>
  </si>
  <si>
    <t>INTEL CORE i3-3240</t>
  </si>
  <si>
    <t>DELL</t>
  </si>
  <si>
    <t>SIM COOL</t>
  </si>
  <si>
    <t>GIGABYTE TECHNOLOGY H61M-52P-R3</t>
  </si>
  <si>
    <t>PC 19</t>
  </si>
  <si>
    <t>WINDOWS-PME75HV</t>
  </si>
  <si>
    <t>PC 20</t>
  </si>
  <si>
    <t>DEKSTOP-D012N2B</t>
  </si>
  <si>
    <t>GIGABYTE H61-52PV REV 2.2</t>
  </si>
  <si>
    <t>PC 21</t>
  </si>
  <si>
    <t>i3-2120</t>
  </si>
  <si>
    <t>DEKSTOP-8OE447M</t>
  </si>
  <si>
    <t>DELL 14 INCH</t>
  </si>
  <si>
    <t>POWER LOQIC</t>
  </si>
  <si>
    <t>WINDOWS ERROR</t>
  </si>
  <si>
    <t>BIOSTAR H61MLV3</t>
  </si>
  <si>
    <t>PC 22</t>
  </si>
  <si>
    <t>DOL2N2B</t>
  </si>
  <si>
    <t>WINDOWS-67V25RT</t>
  </si>
  <si>
    <t>12.00 GB</t>
  </si>
  <si>
    <t>PC 23</t>
  </si>
  <si>
    <t>PMELCUP</t>
  </si>
  <si>
    <t>INTEL CORE  i5-2400</t>
  </si>
  <si>
    <t>DEKSTOP-8DOENKN</t>
  </si>
  <si>
    <t>WINDOWS-TQTO7FE</t>
  </si>
  <si>
    <t>INTEL CORE i7-6700</t>
  </si>
  <si>
    <t>8.00 GB</t>
  </si>
  <si>
    <t>16 GB</t>
  </si>
  <si>
    <t>GIGABYTE H61M-D52</t>
  </si>
  <si>
    <t>237 GB</t>
  </si>
  <si>
    <t>WINDOWS 11</t>
  </si>
  <si>
    <t>LG 24 INC</t>
  </si>
  <si>
    <t>VARRO MACQUA</t>
  </si>
  <si>
    <t>PC 24</t>
  </si>
  <si>
    <t>INTEL H110</t>
  </si>
  <si>
    <t>UT3VO41</t>
  </si>
  <si>
    <t>477 GB</t>
  </si>
  <si>
    <t>DUGVTGD</t>
  </si>
  <si>
    <t>6 GB</t>
  </si>
  <si>
    <t>DEKSTOP-10J8GOF</t>
  </si>
  <si>
    <t>466 GB</t>
  </si>
  <si>
    <t>PC 25</t>
  </si>
  <si>
    <t>DEKSTOP-QB1CIT7</t>
  </si>
  <si>
    <t>ACER 14 INC</t>
  </si>
  <si>
    <t>PC 26</t>
  </si>
  <si>
    <t>K5501LG</t>
  </si>
  <si>
    <t>DEKSTOP-67AP5HB</t>
  </si>
  <si>
    <t>DEKSTOP-LJ7V6FD</t>
  </si>
  <si>
    <t>INTEL CORE i3</t>
  </si>
  <si>
    <t>GIGABYTE TECHNOLOGI H 81M-D52</t>
  </si>
  <si>
    <t>PC 27</t>
  </si>
  <si>
    <t>DEKSTOP-34ANNBJ</t>
  </si>
  <si>
    <t>WINDOWS-QLRDHBE</t>
  </si>
  <si>
    <t>DEKSTOP-7PJM40N</t>
  </si>
  <si>
    <t>INTEL CORE i5-6500</t>
  </si>
  <si>
    <t>TIDAK ADA</t>
  </si>
  <si>
    <t>PC 28</t>
  </si>
  <si>
    <t>DEKSTOP-5DCO60P</t>
  </si>
  <si>
    <t>ASUS H 110MM-K</t>
  </si>
  <si>
    <t>DEKSTOP-5GN44A10</t>
  </si>
  <si>
    <t>WINDOWS-DLBLH58</t>
  </si>
  <si>
    <t>PC 29</t>
  </si>
  <si>
    <t>585 GB</t>
  </si>
  <si>
    <t>DEKSTOP-N8C22BE</t>
  </si>
  <si>
    <t>GIGABYTE TEVHNOLOGI H81M-D52</t>
  </si>
  <si>
    <t>DEKSTOP-C5MK8QD</t>
  </si>
  <si>
    <t>PC 30</t>
  </si>
  <si>
    <t>DEKSTOP-KIB8BUF</t>
  </si>
  <si>
    <t>DEKSTOP-EC91478</t>
  </si>
  <si>
    <t>PC 31</t>
  </si>
  <si>
    <t>DEKSTOP-UHK NAOL</t>
  </si>
  <si>
    <t>PC 32</t>
  </si>
  <si>
    <t>DEKSTOP-K085CBF</t>
  </si>
  <si>
    <t>DEKSTOP-2J62K9</t>
  </si>
  <si>
    <t>PC 33</t>
  </si>
  <si>
    <t>DEKSTOP-UBNE1P5</t>
  </si>
  <si>
    <t>DEKSTOP-73M9314</t>
  </si>
  <si>
    <t>PC 34</t>
  </si>
  <si>
    <t>DEKSTOP-3JBE35C</t>
  </si>
  <si>
    <t>DEKSTOP-VGKGQ4F</t>
  </si>
  <si>
    <t>DEKSTOP-FBLQJDD</t>
  </si>
  <si>
    <t>AVARIS</t>
  </si>
  <si>
    <t>INTEL CORPORATION H61</t>
  </si>
  <si>
    <t>PC 35</t>
  </si>
  <si>
    <t>DESKTOP-5MPEO05</t>
  </si>
  <si>
    <t>DEKSTOP-POGE9UI</t>
  </si>
  <si>
    <t>4VKJBTR</t>
  </si>
  <si>
    <t>i3-4170</t>
  </si>
  <si>
    <t>PC 36</t>
  </si>
  <si>
    <t>CGUV320</t>
  </si>
  <si>
    <t>DEKSTOP-IMINSRH</t>
  </si>
  <si>
    <t>U08H62F</t>
  </si>
  <si>
    <t>ASUS P9H61-MX R2.0</t>
  </si>
  <si>
    <t>DEKSTOP-KOAERUA</t>
  </si>
  <si>
    <t>WINDOWS-IPKG9P8</t>
  </si>
  <si>
    <t>DEKSTOP-615BDH9</t>
  </si>
  <si>
    <t>GABYTE TECHNOLOGI H81M-D52</t>
  </si>
  <si>
    <t>DEKSTOP-8NQ25F</t>
  </si>
  <si>
    <t>77EJHN6</t>
  </si>
  <si>
    <t>DEKSTOP-5D8UNDE</t>
  </si>
  <si>
    <t>BHCS3CQ</t>
  </si>
  <si>
    <t>DEKSTOP-48J1SKO</t>
  </si>
  <si>
    <t>WINDOWS-5ERS9RN</t>
  </si>
  <si>
    <t xml:space="preserve">4.00 GB </t>
  </si>
  <si>
    <t>DEKSTOP-JMAJMIR</t>
  </si>
  <si>
    <t>GIGABYTE N81M-D52</t>
  </si>
  <si>
    <t>LLDHHQS</t>
  </si>
  <si>
    <t>LG 14 INC</t>
  </si>
  <si>
    <t>INTEL H61</t>
  </si>
  <si>
    <t>MOEKRO6</t>
  </si>
  <si>
    <t>BFR5CFO</t>
  </si>
  <si>
    <t>120 GB</t>
  </si>
  <si>
    <t>IB3OM4O</t>
  </si>
  <si>
    <t>i5-2500</t>
  </si>
  <si>
    <t>WINDOWS-C21HCQG</t>
  </si>
  <si>
    <t>INTEL CORE i3 -2120</t>
  </si>
  <si>
    <t>GIGABYTE H61M-DS2</t>
  </si>
  <si>
    <t>OO254QI</t>
  </si>
  <si>
    <t>12 GB</t>
  </si>
  <si>
    <t>INTER CORPORATION</t>
  </si>
  <si>
    <t>DAZUMA</t>
  </si>
  <si>
    <t>OIB6OC</t>
  </si>
  <si>
    <t>IQ4ONO6</t>
  </si>
  <si>
    <t>GIGABYTE H81M-DS2</t>
  </si>
  <si>
    <t>DEKSTOP-6700</t>
  </si>
  <si>
    <t>DEKSTOP-EUBJOBES</t>
  </si>
  <si>
    <t>WINDOWS-VOVJ8C4</t>
  </si>
  <si>
    <t xml:space="preserve">8 GB </t>
  </si>
  <si>
    <t>SSD 500 GB</t>
  </si>
  <si>
    <t>GIGABYTE TECNOLOGY H61M-D52</t>
  </si>
  <si>
    <t>ENO2776</t>
  </si>
  <si>
    <t>250 GB</t>
  </si>
  <si>
    <t>DEKSTOP-LMHKAKP</t>
  </si>
  <si>
    <t>596 GB</t>
  </si>
  <si>
    <t>S712QRL</t>
  </si>
  <si>
    <t>DEKSTOP-A2VCCU5</t>
  </si>
  <si>
    <t>OFRERMH</t>
  </si>
  <si>
    <t>INTEL CORE i5-3470</t>
  </si>
  <si>
    <t>WINDOWS RUSAK</t>
  </si>
  <si>
    <t>N21KC27</t>
  </si>
  <si>
    <t>QLRDHBE</t>
  </si>
  <si>
    <t>LENOVO 19 INCH</t>
  </si>
  <si>
    <t>PORMULA V-LINE AIR</t>
  </si>
  <si>
    <t>ASUS H110M-K</t>
  </si>
  <si>
    <t>VARRO 19 INC</t>
  </si>
  <si>
    <t>RB2KDR4</t>
  </si>
  <si>
    <t>ECLM93S</t>
  </si>
  <si>
    <t>i5-3470</t>
  </si>
  <si>
    <t>ADVAN 14 INC</t>
  </si>
  <si>
    <t>Notes:</t>
  </si>
  <si>
    <t>Ada 11 PC rusak bekas DKV (baru ini)</t>
  </si>
  <si>
    <t>Total: 22 PC di Gudang</t>
  </si>
  <si>
    <t>OOBC1EM</t>
  </si>
  <si>
    <t>K8O4FHU</t>
  </si>
  <si>
    <t>i5-6500</t>
  </si>
  <si>
    <t>ASUS H110M-E/M.2</t>
  </si>
  <si>
    <t>DEKSTOP-4H21853</t>
  </si>
  <si>
    <t xml:space="preserve">INTEL CORE i3-2120 </t>
  </si>
  <si>
    <t>4,00 GB</t>
  </si>
  <si>
    <t>477GB</t>
  </si>
  <si>
    <t>SAMSUNG</t>
  </si>
  <si>
    <t>BIOSTAR GROUP H61MLV3</t>
  </si>
  <si>
    <t>DEKSTOP-CVP963M</t>
  </si>
  <si>
    <t>943 GB</t>
  </si>
  <si>
    <t>AVARIZ</t>
  </si>
  <si>
    <t>INTEL CORE H61</t>
  </si>
  <si>
    <t>DEKSTOP-NVUAUA9</t>
  </si>
  <si>
    <t>MAXX I MAX</t>
  </si>
  <si>
    <t>ASUSTEK H110</t>
  </si>
  <si>
    <t>DEKSTOP-IDCIBEO</t>
  </si>
  <si>
    <t>FUTURA N60</t>
  </si>
  <si>
    <t>ADVAN</t>
  </si>
  <si>
    <t>DEKSTOP-NBN1FBK</t>
  </si>
  <si>
    <t>POWER LOGIC</t>
  </si>
  <si>
    <t>2L7VPK2</t>
  </si>
  <si>
    <t>DEKSTOP-MHPAHMU</t>
  </si>
  <si>
    <t>3 POWER UP</t>
  </si>
  <si>
    <t>ASUS TEK H6-1</t>
  </si>
  <si>
    <t>DEKSTOP-SF04I1F</t>
  </si>
  <si>
    <t xml:space="preserve">INTEL CORE i3-4170 </t>
  </si>
  <si>
    <t>GIGABYTE TECNOLOGY H81M-DS2</t>
  </si>
  <si>
    <t>LLGNHB9</t>
  </si>
  <si>
    <t>DESKTOP-IV3IMA86</t>
  </si>
  <si>
    <t>GIGABYTE TECNOLOGY H81M-DS3</t>
  </si>
  <si>
    <t>DEKSTOP-GFJRJDO</t>
  </si>
  <si>
    <t>DEKSTOP-LLGNHB9</t>
  </si>
  <si>
    <t>INTEL CORE i3-4171</t>
  </si>
  <si>
    <t>ADVAN 19 INC</t>
  </si>
  <si>
    <t>GIGABYTE TECNOLOGY H81M-DS4</t>
  </si>
  <si>
    <t>DCLE66T</t>
  </si>
  <si>
    <t>704 GB</t>
  </si>
  <si>
    <t>POWER UP</t>
  </si>
  <si>
    <t>INTEL-B75</t>
  </si>
  <si>
    <t>ACER 14 INCH</t>
  </si>
  <si>
    <t>TIDAK ADA OS</t>
  </si>
  <si>
    <t>ASUS H61M-E</t>
  </si>
  <si>
    <t>DEKSTOP-SHUR7RI</t>
  </si>
  <si>
    <t>INTEL CORE i3-4150</t>
  </si>
  <si>
    <t>SHUR7RL</t>
  </si>
  <si>
    <t>RUSAK</t>
  </si>
  <si>
    <t>MONITOR RUSAK</t>
  </si>
  <si>
    <t>SPVB9RM</t>
  </si>
  <si>
    <t>O7LL6VH</t>
  </si>
  <si>
    <t>i3-4150</t>
  </si>
  <si>
    <t>POWER LOGICH</t>
  </si>
  <si>
    <t>DEKSTOP-HOUNPC6</t>
  </si>
  <si>
    <t>238 GB</t>
  </si>
  <si>
    <t>ASUS TEK INC</t>
  </si>
  <si>
    <t>LG 19"</t>
  </si>
  <si>
    <t>SSD RUSAK</t>
  </si>
  <si>
    <t>KPGFDUH</t>
  </si>
  <si>
    <t>DESKTOP-RBU1TO6</t>
  </si>
  <si>
    <t>KOE847T</t>
  </si>
  <si>
    <t>ASUS-H6IM-E</t>
  </si>
  <si>
    <t>WINDOWS-OPITT6</t>
  </si>
  <si>
    <t>R2H4HDR</t>
  </si>
  <si>
    <t xml:space="preserve"> 4 GB</t>
  </si>
  <si>
    <t>DEKSTOP-PNEIGIH</t>
  </si>
  <si>
    <t>13PV89A</t>
  </si>
  <si>
    <t xml:space="preserve">BAIK </t>
  </si>
  <si>
    <t>K09FU44</t>
  </si>
  <si>
    <t>CKVA8 MB</t>
  </si>
  <si>
    <t xml:space="preserve">4  GB </t>
  </si>
  <si>
    <t>UUMVKUO</t>
  </si>
  <si>
    <t>FUTARO NEO</t>
  </si>
  <si>
    <t>I5-3470</t>
  </si>
  <si>
    <t>B60RKH6</t>
  </si>
  <si>
    <t xml:space="preserve">MATI </t>
  </si>
  <si>
    <t>ASUSTEK H61M-E</t>
  </si>
  <si>
    <t>A08FL8S</t>
  </si>
  <si>
    <t xml:space="preserve">WINDOWS 10 </t>
  </si>
  <si>
    <t xml:space="preserve">3 POWER UP </t>
  </si>
  <si>
    <t>26CGIF4</t>
  </si>
  <si>
    <t>7CUNVAC</t>
  </si>
  <si>
    <t xml:space="preserve">4 GB </t>
  </si>
  <si>
    <t xml:space="preserve">WINDOWS 1O </t>
  </si>
  <si>
    <t>LU48APU</t>
  </si>
  <si>
    <t xml:space="preserve">A81ME23 </t>
  </si>
  <si>
    <t xml:space="preserve">i3-2120 </t>
  </si>
  <si>
    <t xml:space="preserve">SIMBADA </t>
  </si>
  <si>
    <t xml:space="preserve">ASUS H61M-K </t>
  </si>
  <si>
    <t>WINDOWS-ITJOKQ9</t>
  </si>
  <si>
    <t>8DGUKHA</t>
  </si>
  <si>
    <t xml:space="preserve">4GB </t>
  </si>
  <si>
    <t>NSP97UK</t>
  </si>
  <si>
    <t>AA705RM</t>
  </si>
  <si>
    <t>VARRU 19 INC</t>
  </si>
  <si>
    <t xml:space="preserve">MEVlM7K </t>
  </si>
  <si>
    <t xml:space="preserve">PCANJAI </t>
  </si>
  <si>
    <t>D3POEQ</t>
  </si>
  <si>
    <t>7CUNV4C</t>
  </si>
  <si>
    <t>30GJQPM</t>
  </si>
  <si>
    <t xml:space="preserve">LJ54l1M </t>
  </si>
  <si>
    <t>1R4VCCE</t>
  </si>
  <si>
    <t xml:space="preserve">9MlD48N </t>
  </si>
  <si>
    <t>POWER HUB</t>
  </si>
  <si>
    <t>RRPTAEU</t>
  </si>
  <si>
    <t xml:space="preserve">J65N0OK </t>
  </si>
  <si>
    <t>D84EA09</t>
  </si>
  <si>
    <t>VFCL027</t>
  </si>
  <si>
    <t xml:space="preserve">J65N0QK </t>
  </si>
  <si>
    <t>EFO060P</t>
  </si>
  <si>
    <t>ASUSTEK-H61M-E</t>
  </si>
  <si>
    <t>EF0O60P</t>
  </si>
  <si>
    <t xml:space="preserve">MUDHIT7 </t>
  </si>
  <si>
    <t xml:space="preserve"> RUSAK</t>
  </si>
  <si>
    <t xml:space="preserve">HOPPAB </t>
  </si>
  <si>
    <t xml:space="preserve">  RUSAK</t>
  </si>
  <si>
    <t>3O316BR</t>
  </si>
  <si>
    <t xml:space="preserve">OilN0PS </t>
  </si>
  <si>
    <t xml:space="preserve">A81NG23 </t>
  </si>
  <si>
    <t>S133P16</t>
  </si>
  <si>
    <t xml:space="preserve">7F8297F </t>
  </si>
  <si>
    <t>DRGLIAB9</t>
  </si>
  <si>
    <t>SIMMBADA</t>
  </si>
  <si>
    <t>ASUS H61M-H</t>
  </si>
  <si>
    <t>E678CD6</t>
  </si>
  <si>
    <t>INNOVATION 19 INCH</t>
  </si>
  <si>
    <t>MAXXI MAX</t>
  </si>
  <si>
    <t>WINDOWS BERMASALAH</t>
  </si>
  <si>
    <t>ASUS H11OM-K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</si>
</sst>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Aptos Narrow"/>
    </font>
    <font>
      <sz val="12.0"/>
      <color rgb="FF000000"/>
      <name val="Arial"/>
    </font>
    <font>
      <sz val="12.0"/>
      <color rgb="FFBBBBBB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</fills>
  <borders count="7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textRotation="0" vertical="center" wrapText="0"/>
    </xf>
    <xf borderId="0" fillId="0" fontId="2" numFmtId="49" xfId="0" applyAlignment="1" applyFont="1" applyNumberFormat="1">
      <alignment horizontal="center" readingOrder="0" shrinkToFit="0" textRotation="0" vertical="center" wrapText="0"/>
    </xf>
    <xf borderId="0" fillId="0" fontId="2" numFmtId="49" xfId="0" applyAlignment="1" applyFont="1" applyNumberFormat="1">
      <alignment horizontal="center" readingOrder="0" shrinkToFit="0" textRotation="0" vertical="center" wrapText="0"/>
    </xf>
    <xf borderId="0" fillId="0" fontId="2" numFmtId="0" xfId="0" applyAlignment="1" applyFont="1">
      <alignment horizontal="center" readingOrder="0" shrinkToFit="0" textRotation="0" vertical="center" wrapText="0"/>
    </xf>
    <xf borderId="0" fillId="0" fontId="2" numFmtId="0" xfId="0" applyAlignment="1" applyFont="1">
      <alignment horizontal="center" readingOrder="0" shrinkToFit="0" textRotation="0" vertical="center" wrapText="0"/>
    </xf>
    <xf borderId="2" fillId="2" fontId="3" numFmtId="0" xfId="0" applyAlignment="1" applyBorder="1" applyFill="1" applyFont="1">
      <alignment horizontal="center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2" fontId="3" numFmtId="0" xfId="0" applyAlignment="1" applyBorder="1" applyFill="1" applyFont="1">
      <alignment horizontal="left" shrinkToFit="0" vertical="center" wrapText="0"/>
    </xf>
    <xf borderId="2" fillId="2" fontId="3" numFmtId="0" xfId="0" applyAlignment="1" applyBorder="1" applyFill="1" applyFont="1">
      <alignment horizontal="left" readingOrder="0"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3" fillId="2" fontId="3" numFmtId="0" xfId="0" applyAlignment="1" applyBorder="1" applyFill="1" applyFont="1">
      <alignment horizontal="center"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2" fontId="3" numFmtId="0" xfId="0" applyAlignment="1" applyBorder="1" applyFill="1" applyFont="1">
      <alignment horizontal="center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3" fillId="2" fontId="3" numFmtId="0" xfId="0" applyAlignment="1" applyBorder="1" applyFill="1" applyFont="1">
      <alignment horizontal="center" readingOrder="0" shrinkToFit="0" vertical="center" wrapText="0"/>
    </xf>
    <xf borderId="2" fillId="4" fontId="3" numFmtId="0" xfId="0" applyAlignment="1" applyBorder="1" applyFill="1" applyFont="1">
      <alignment horizontal="left" readingOrder="0" shrinkToFit="0" vertical="center" wrapText="0"/>
    </xf>
    <xf borderId="2" fillId="2" fontId="3" numFmtId="0" xfId="0" applyAlignment="1" applyBorder="1" applyFill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5" fontId="3" numFmtId="0" xfId="0" applyAlignment="1" applyBorder="1" applyFill="1" applyFont="1">
      <alignment horizontal="center" readingOrder="0" shrinkToFit="0" vertical="center" wrapText="0"/>
    </xf>
    <xf borderId="4" fillId="5" fontId="3" numFmtId="0" xfId="0" applyAlignment="1" applyBorder="1" applyFill="1" applyFont="1">
      <alignment horizontal="center" readingOrder="0" shrinkToFit="0" vertical="center" wrapText="0"/>
    </xf>
    <xf borderId="3" fillId="5" fontId="3" numFmtId="0" xfId="0" applyAlignment="1" applyBorder="1" applyFill="1" applyFont="1">
      <alignment horizontal="center" readingOrder="0" shrinkToFit="0" vertical="center" wrapText="0"/>
    </xf>
    <xf borderId="2" fillId="5" fontId="3" numFmtId="0" xfId="0" applyAlignment="1" applyBorder="1" applyFill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3" fillId="0" fontId="3" numFmtId="0" xfId="0" applyAlignment="1" applyBorder="1" applyFont="1">
      <alignment horizontal="center" shrinkToFit="0" vertical="center" wrapText="0"/>
    </xf>
    <xf borderId="5" fillId="2" fontId="3" numFmtId="0" xfId="0" applyAlignment="1" applyBorder="1" applyFill="1" applyFont="1">
      <alignment horizontal="center" readingOrder="0" shrinkToFit="0" vertical="center" wrapText="0"/>
    </xf>
    <xf borderId="2" fillId="2" fontId="6" numFmtId="0" xfId="0" applyAlignment="1" applyBorder="1" applyFill="1" applyFont="1">
      <alignment readingOrder="0" shrinkToFit="0" vertical="center" wrapText="0"/>
    </xf>
    <xf borderId="5" fillId="2" fontId="3" numFmtId="0" xfId="0" applyAlignment="1" applyBorder="1" applyFill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2" fillId="2" fontId="7" numFmtId="0" xfId="0" applyAlignment="1" applyBorder="1" applyFill="1" applyFont="1">
      <alignment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2" fillId="2" fontId="4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TJK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PL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K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K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M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36" displayName="Tabel1" name="Tabel1" id="2">
  <tableColumns count="20">
    <tableColumn name="NO" id="1"/>
    <tableColumn name="KODE ASET" id="2"/>
    <tableColumn name="NAMA PC" id="3"/>
    <tableColumn name="PROSESOR" id="4"/>
    <tableColumn name="RAM" id="5"/>
    <tableColumn name="STORAGE" id="6"/>
    <tableColumn name="OS" id="7"/>
    <tableColumn name="KEYBOARD" id="8"/>
    <tableColumn name="MOUSE" id="9"/>
    <tableColumn name="MONITOR" id="10"/>
    <tableColumn name="MEREK CASING" id="11"/>
    <tableColumn name="KONDISI" id="12"/>
    <tableColumn name="Motherboard" id="13"/>
    <tableColumn name="LOKASI" id="14"/>
    <tableColumn name="TAHUN PENGADAAN" id="15"/>
    <tableColumn name="TANGGAL PENDATAAN" id="16"/>
    <tableColumn name="PETUGAS PENDATA" id="17"/>
    <tableColumn name="FOTO" id="18"/>
    <tableColumn name="CATATAN" id="19"/>
    <tableColumn name="BARCODE" id="20"/>
  </tableColumns>
  <tableStyleInfo name="TJKT-style" showColumnStripes="0" showFirstColumn="1" showLastColumn="1" showRowStripes="1"/>
</table>
</file>

<file path=xl/tables/table2.xml><?xml version="1.0" encoding="utf-8"?>
<table xmlns="http://schemas.openxmlformats.org/spreadsheetml/2006/main" ref="A1:T37" displayName="Tabel2" name="Tabel2" id="1">
  <tableColumns count="20">
    <tableColumn name="NO" id="1"/>
    <tableColumn name="KODE ASET" id="2"/>
    <tableColumn name="NAMA PC" id="3"/>
    <tableColumn name="PROSESOR" id="4"/>
    <tableColumn name="RAM" id="5"/>
    <tableColumn name="STORAGE" id="6"/>
    <tableColumn name="OS" id="7"/>
    <tableColumn name="KEYBOARD" id="8"/>
    <tableColumn name="MOUSE" id="9"/>
    <tableColumn name="MONITOR" id="10"/>
    <tableColumn name="MEREK CASING" id="11"/>
    <tableColumn name="KONDISI" id="12"/>
    <tableColumn name="Motherboard" id="13"/>
    <tableColumn name="LOKASI" id="14"/>
    <tableColumn name="TAHUN PENGADAAN" id="15"/>
    <tableColumn name="TANGGAL PENDATAAN" id="16"/>
    <tableColumn name="PETUGAS PENDATA" id="17"/>
    <tableColumn name="FOTO" id="18"/>
    <tableColumn name="CATATAN" id="19"/>
    <tableColumn name="BARCODE" id="20"/>
  </tableColumns>
  <tableStyleInfo name="MPLB-style" showColumnStripes="0" showFirstColumn="1" showLastColumn="1" showRowStripes="1"/>
</table>
</file>

<file path=xl/tables/table3.xml><?xml version="1.0" encoding="utf-8"?>
<table xmlns="http://schemas.openxmlformats.org/spreadsheetml/2006/main" ref="A1:T29" displayName="Tabel3" name="Tabel3" id="3">
  <tableColumns count="20">
    <tableColumn name="NO" id="1"/>
    <tableColumn name="KODE ASET" id="2"/>
    <tableColumn name="NAMA PC" id="3"/>
    <tableColumn name="PROSESOR" id="4"/>
    <tableColumn name="RAM" id="5"/>
    <tableColumn name="STORAGE" id="6"/>
    <tableColumn name="OS" id="7"/>
    <tableColumn name="KEYBOARD" id="8"/>
    <tableColumn name="MOUSE" id="9"/>
    <tableColumn name="MONITOR" id="10"/>
    <tableColumn name="MEREK CASING" id="11"/>
    <tableColumn name="KONDISI" id="12"/>
    <tableColumn name="Motherboard" id="13"/>
    <tableColumn name="LOKASI" id="14"/>
    <tableColumn name="TAHUN PENGADAAN" id="15"/>
    <tableColumn name="TANGGAL PENDATAAN" id="16"/>
    <tableColumn name="PETUGAS PENDATA" id="17"/>
    <tableColumn name="FOTO" id="18"/>
    <tableColumn name="CATATAN" id="19"/>
    <tableColumn name="BARCODE" id="20"/>
  </tableColumns>
  <tableStyleInfo name="DKV-style" showColumnStripes="0" showFirstColumn="1" showLastColumn="1" showRowStripes="1"/>
</table>
</file>

<file path=xl/tables/table4.xml><?xml version="1.0" encoding="utf-8"?>
<table xmlns="http://schemas.openxmlformats.org/spreadsheetml/2006/main" ref="A1:T29" displayName="Tabel4" name="Tabel4" id="4">
  <tableColumns count="20">
    <tableColumn name="NO" id="1"/>
    <tableColumn name="KODE ASET" id="2"/>
    <tableColumn name="NAMA PC" id="3"/>
    <tableColumn name="PROSESOR" id="4"/>
    <tableColumn name="RAM" id="5"/>
    <tableColumn name="STORAGE" id="6"/>
    <tableColumn name="OS" id="7"/>
    <tableColumn name="KEYBOARD" id="8"/>
    <tableColumn name="MOUSE" id="9"/>
    <tableColumn name="MONITOR" id="10"/>
    <tableColumn name="MEREK CASING" id="11"/>
    <tableColumn name="KONDISI" id="12"/>
    <tableColumn name="Motherboard" id="13"/>
    <tableColumn name="LOKASI" id="14"/>
    <tableColumn name="TAHUN PENGADAAN" id="15"/>
    <tableColumn name="TANGGAL PENDATAAN" id="16"/>
    <tableColumn name="PETUGAS PENDATA" id="17"/>
    <tableColumn name="FOTO" id="18"/>
    <tableColumn name="CATATAN" id="19"/>
    <tableColumn name="BARCODE" id="20"/>
  </tableColumns>
  <tableStyleInfo name="AKL-style" showColumnStripes="0" showFirstColumn="1" showLastColumn="1" showRowStripes="1"/>
</table>
</file>

<file path=xl/tables/table5.xml><?xml version="1.0" encoding="utf-8"?>
<table xmlns="http://schemas.openxmlformats.org/spreadsheetml/2006/main" ref="A1:T36" displayName="Tabel5" name="Tabel5" id="5">
  <autoFilter ref="$A$1:$T$36"/>
  <tableColumns count="20">
    <tableColumn name="NO" id="1"/>
    <tableColumn name="KODE ASET" id="2"/>
    <tableColumn name="NAMA PC" id="3"/>
    <tableColumn name="PROSESOR" id="4"/>
    <tableColumn name="RAM" id="5"/>
    <tableColumn name="STORAGE" id="6"/>
    <tableColumn name="OS" id="7"/>
    <tableColumn name="KEYBOARD" id="8"/>
    <tableColumn name="MOUSE" id="9"/>
    <tableColumn name="MONITOR" id="10"/>
    <tableColumn name="MEREK CASING" id="11"/>
    <tableColumn name="KONDISI" id="12"/>
    <tableColumn name="Motherboard" id="13"/>
    <tableColumn name="LOKASI" id="14"/>
    <tableColumn name="TAHUN PENGADAAN" id="15"/>
    <tableColumn name="TANGGAL PENDATAAN" id="16"/>
    <tableColumn name="PETUGAS PENDATA" id="17"/>
    <tableColumn name="FOTO" id="18"/>
    <tableColumn name="CATATAN" id="19"/>
    <tableColumn name="BARCODE" id="20"/>
  </tableColumns>
  <tableStyleInfo name="PM-style" showColumnStripes="0" showFirstColumn="1" showLastColumn="1" showRowStripes="1"/>
</table>
</file>

<file path=xl/tables/table6.xml><?xml version="1.0" encoding="utf-8"?>
<table xmlns="http://schemas.openxmlformats.org/spreadsheetml/2006/main" ref="A1:T32" displayName="Tabel6" name="Tabel6" id="6">
  <tableColumns count="20">
    <tableColumn name="NO" id="1"/>
    <tableColumn name="KODE ASET" id="2"/>
    <tableColumn name="NAMA PC" id="3"/>
    <tableColumn name="PROSESOR" id="4"/>
    <tableColumn name="RAM" id="5"/>
    <tableColumn name="STORAGE" id="6"/>
    <tableColumn name="OS" id="7"/>
    <tableColumn name="KEYBOARD" id="8"/>
    <tableColumn name="MOUSE" id="9"/>
    <tableColumn name="MONITOR" id="10"/>
    <tableColumn name="MEREK CASING" id="11"/>
    <tableColumn name="KONDISI" id="12"/>
    <tableColumn name="Motherboard" id="13"/>
    <tableColumn name="LOKASI" id="14"/>
    <tableColumn name="TAHUN PENGADAAN" id="15"/>
    <tableColumn name="TANGGAL PENDATAAN" id="16"/>
    <tableColumn name="PETUGAS PENDATA" id="17"/>
    <tableColumn name="FOTO" id="18"/>
    <tableColumn name="CATATAN" id="19"/>
    <tableColumn name="BARCODE" id="20"/>
  </tableColumns>
  <tableStyleInfo name="S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3" width="21.0"/>
    <col customWidth="1" min="4" max="4" width="22.25"/>
    <col customWidth="1" min="5" max="5" width="15.5"/>
    <col customWidth="1" min="6" max="6" width="17.5"/>
    <col customWidth="1" min="7" max="7" width="17.88"/>
    <col customWidth="1" min="8" max="8" width="15.63"/>
    <col customWidth="1" min="9" max="9" width="20.75"/>
    <col customWidth="1" min="10" max="10" width="17.75"/>
    <col customWidth="1" min="11" max="11" width="19.5"/>
    <col customWidth="1" min="12" max="12" width="19.88"/>
    <col customWidth="1" min="13" max="13" width="37.13"/>
    <col customWidth="1" min="14" max="15" width="33.38"/>
    <col customWidth="1" min="16" max="16" width="28.5"/>
    <col customWidth="1" min="17" max="17" width="38.13"/>
    <col customWidth="1" min="18" max="18" width="20.88"/>
    <col customWidth="1" min="19" max="19" width="18.5"/>
    <col customWidth="1" min="20" max="20" width="28.63"/>
    <col customWidth="1" min="21" max="27" width="8.63"/>
  </cols>
  <sheetData>
    <row r="1" ht="14.2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ht="135.75" customHeight="1">
      <c r="A2" s="9" t="s">
        <v>20</v>
      </c>
      <c r="B2" s="13" t="str">
        <f t="shared" ref="B2:B36" si="1">CONCATENATE("TJKT-PC-00",RIGHT(A2,LEN(A2) - (FIND(" ",A2))),"-26")</f>
        <v>TJKT-PC-001-26</v>
      </c>
      <c r="C2" s="14" t="s">
        <v>24</v>
      </c>
      <c r="D2" s="13" t="s">
        <v>27</v>
      </c>
      <c r="E2" s="13" t="s">
        <v>23</v>
      </c>
      <c r="F2" s="13" t="s">
        <v>29</v>
      </c>
      <c r="G2" s="13" t="s">
        <v>26</v>
      </c>
      <c r="H2" s="13" t="s">
        <v>28</v>
      </c>
      <c r="I2" s="13" t="s">
        <v>28</v>
      </c>
      <c r="J2" s="13" t="s">
        <v>34</v>
      </c>
      <c r="K2" s="13" t="s">
        <v>35</v>
      </c>
      <c r="L2" s="13" t="s">
        <v>36</v>
      </c>
      <c r="M2" s="13" t="s">
        <v>37</v>
      </c>
      <c r="N2" s="13" t="s">
        <v>38</v>
      </c>
      <c r="O2" s="13">
        <v>2026.0</v>
      </c>
      <c r="P2" s="13">
        <v>1.0</v>
      </c>
      <c r="Q2" s="13" t="s">
        <v>39</v>
      </c>
      <c r="R2" s="13"/>
      <c r="S2" s="13"/>
      <c r="T2" s="17" t="str">
        <f>IMAGE("https://quickchart.io/qr?text=" &amp; ENCODEURL("https://script.google.com/macros/s/AKfycbwUw2zru1c30d7u6vNwK6_c7tb3xEU0ZXquHJ8FWE6Y3IgmK5rEhzofiQ0rYAA2noQv/exec?id=" &amp; B2))</f>
        <v/>
      </c>
    </row>
    <row r="3" ht="135.75" customHeight="1">
      <c r="A3" s="9" t="s">
        <v>40</v>
      </c>
      <c r="B3" s="13" t="str">
        <f t="shared" si="1"/>
        <v>TJKT-PC-002-26</v>
      </c>
      <c r="C3" s="8" t="s">
        <v>21</v>
      </c>
      <c r="D3" s="8" t="s">
        <v>27</v>
      </c>
      <c r="E3" s="8" t="s">
        <v>23</v>
      </c>
      <c r="F3" s="8" t="s">
        <v>29</v>
      </c>
      <c r="G3" s="12" t="s">
        <v>26</v>
      </c>
      <c r="H3" s="12" t="s">
        <v>28</v>
      </c>
      <c r="I3" s="12" t="s">
        <v>28</v>
      </c>
      <c r="J3" s="8" t="s">
        <v>34</v>
      </c>
      <c r="K3" s="12" t="s">
        <v>35</v>
      </c>
      <c r="L3" s="8" t="s">
        <v>46</v>
      </c>
      <c r="M3" s="8" t="s">
        <v>37</v>
      </c>
      <c r="N3" s="20"/>
      <c r="O3" s="20"/>
      <c r="P3" s="21"/>
      <c r="Q3" s="21"/>
      <c r="R3" s="21"/>
      <c r="S3" s="21"/>
      <c r="T3" s="17" t="str">
        <f>IMAGE("https://quickchart.io/qr?text="&amp;ENCODEURL("https://script.google.com/macros/s/AKfycbzpGAZd7mcVr0PnVDexUszHll-s1iSgqFYXXfBckFPgj2khM9Ha8fOOiopWS2BJgo5U/exec?id="&amp;B3))</f>
        <v/>
      </c>
    </row>
    <row r="4" ht="135.75" customHeight="1">
      <c r="A4" s="9" t="s">
        <v>45</v>
      </c>
      <c r="B4" s="13" t="str">
        <f t="shared" si="1"/>
        <v>TJKT-PC-003-26</v>
      </c>
      <c r="C4" s="18" t="s">
        <v>52</v>
      </c>
      <c r="D4" s="19" t="s">
        <v>53</v>
      </c>
      <c r="E4" s="19" t="s">
        <v>55</v>
      </c>
      <c r="F4" s="19" t="s">
        <v>56</v>
      </c>
      <c r="G4" s="19" t="s">
        <v>26</v>
      </c>
      <c r="H4" s="19" t="s">
        <v>28</v>
      </c>
      <c r="I4" s="19" t="s">
        <v>28</v>
      </c>
      <c r="J4" s="19" t="s">
        <v>57</v>
      </c>
      <c r="K4" s="19" t="s">
        <v>35</v>
      </c>
      <c r="L4" s="19" t="s">
        <v>36</v>
      </c>
      <c r="M4" s="19" t="s">
        <v>58</v>
      </c>
      <c r="N4" s="22"/>
      <c r="O4" s="22"/>
      <c r="P4" s="16"/>
      <c r="Q4" s="16"/>
      <c r="R4" s="16"/>
      <c r="S4" s="16"/>
      <c r="T4" s="17" t="str">
        <f t="shared" ref="T4:T36" si="2">IMAGE("https://quickchart.io/qr?text="&amp;ENCODEURL("https://script.google.com/macros/s/AKfycbwQpzkxOCRP3NYqoeT2iICUn44Z1fFWd3SGrCOmIeLE-uz8Fxp4eBwg-OJKyc6xQgcnDA/exec?id="&amp;B4))</f>
        <v/>
      </c>
    </row>
    <row r="5" ht="135.75" customHeight="1">
      <c r="A5" s="9" t="s">
        <v>54</v>
      </c>
      <c r="B5" s="13" t="str">
        <f t="shared" si="1"/>
        <v>TJKT-PC-004-26</v>
      </c>
      <c r="C5" s="18" t="s">
        <v>63</v>
      </c>
      <c r="D5" s="19" t="s">
        <v>64</v>
      </c>
      <c r="E5" s="19" t="s">
        <v>65</v>
      </c>
      <c r="F5" s="19" t="s">
        <v>66</v>
      </c>
      <c r="G5" s="19" t="s">
        <v>26</v>
      </c>
      <c r="H5" s="19" t="s">
        <v>28</v>
      </c>
      <c r="I5" s="19" t="s">
        <v>28</v>
      </c>
      <c r="J5" s="19" t="s">
        <v>57</v>
      </c>
      <c r="K5" s="19" t="s">
        <v>35</v>
      </c>
      <c r="L5" s="19" t="s">
        <v>36</v>
      </c>
      <c r="M5" s="19" t="s">
        <v>33</v>
      </c>
      <c r="N5" s="22"/>
      <c r="O5" s="22"/>
      <c r="P5" s="16"/>
      <c r="Q5" s="16"/>
      <c r="R5" s="16"/>
      <c r="S5" s="16"/>
      <c r="T5" s="17" t="str">
        <f t="shared" si="2"/>
        <v/>
      </c>
    </row>
    <row r="6" ht="135.75" customHeight="1">
      <c r="A6" s="9" t="s">
        <v>60</v>
      </c>
      <c r="B6" s="9" t="str">
        <f t="shared" si="1"/>
        <v>TJKT-PC-005-26</v>
      </c>
      <c r="C6" s="18" t="s">
        <v>71</v>
      </c>
      <c r="D6" s="19" t="s">
        <v>53</v>
      </c>
      <c r="E6" s="19" t="s">
        <v>72</v>
      </c>
      <c r="F6" s="19"/>
      <c r="G6" s="19" t="s">
        <v>26</v>
      </c>
      <c r="H6" s="19" t="s">
        <v>28</v>
      </c>
      <c r="I6" s="19" t="s">
        <v>28</v>
      </c>
      <c r="J6" s="19" t="s">
        <v>57</v>
      </c>
      <c r="K6" s="19" t="s">
        <v>35</v>
      </c>
      <c r="L6" s="19" t="s">
        <v>36</v>
      </c>
      <c r="M6" s="19" t="s">
        <v>58</v>
      </c>
      <c r="N6" s="22"/>
      <c r="O6" s="22"/>
      <c r="P6" s="16"/>
      <c r="Q6" s="16"/>
      <c r="R6" s="16"/>
      <c r="S6" s="16"/>
      <c r="T6" s="17" t="str">
        <f t="shared" si="2"/>
        <v/>
      </c>
    </row>
    <row r="7" ht="135.75" customHeight="1">
      <c r="A7" s="9" t="s">
        <v>68</v>
      </c>
      <c r="B7" s="9" t="str">
        <f t="shared" si="1"/>
        <v>TJKT-PC-006-26</v>
      </c>
      <c r="C7" s="18" t="s">
        <v>75</v>
      </c>
      <c r="D7" s="19" t="s">
        <v>76</v>
      </c>
      <c r="E7" s="19" t="s">
        <v>72</v>
      </c>
      <c r="F7" s="19" t="s">
        <v>77</v>
      </c>
      <c r="G7" s="19" t="s">
        <v>26</v>
      </c>
      <c r="H7" s="19" t="s">
        <v>28</v>
      </c>
      <c r="I7" s="19" t="s">
        <v>28</v>
      </c>
      <c r="J7" s="19" t="s">
        <v>57</v>
      </c>
      <c r="K7" s="19" t="s">
        <v>79</v>
      </c>
      <c r="L7" s="24" t="s">
        <v>36</v>
      </c>
      <c r="M7" s="19" t="s">
        <v>80</v>
      </c>
      <c r="N7" s="22"/>
      <c r="O7" s="22"/>
      <c r="P7" s="16"/>
      <c r="Q7" s="16"/>
      <c r="R7" s="16"/>
      <c r="S7" s="16"/>
      <c r="T7" s="17" t="str">
        <f t="shared" si="2"/>
        <v/>
      </c>
    </row>
    <row r="8" ht="135.75" customHeight="1">
      <c r="A8" s="27" t="s">
        <v>73</v>
      </c>
      <c r="B8" s="8" t="str">
        <f t="shared" si="1"/>
        <v>TJKT-PC-007-26</v>
      </c>
      <c r="C8" s="8" t="s">
        <v>21</v>
      </c>
      <c r="D8" s="8" t="s">
        <v>84</v>
      </c>
      <c r="E8" s="8" t="s">
        <v>48</v>
      </c>
      <c r="F8" s="8" t="s">
        <v>29</v>
      </c>
      <c r="G8" s="8" t="s">
        <v>26</v>
      </c>
      <c r="H8" s="12" t="s">
        <v>28</v>
      </c>
      <c r="I8" s="12" t="s">
        <v>28</v>
      </c>
      <c r="J8" s="25" t="s">
        <v>85</v>
      </c>
      <c r="K8" s="8" t="s">
        <v>86</v>
      </c>
      <c r="L8" s="26" t="s">
        <v>87</v>
      </c>
      <c r="M8" s="8" t="s">
        <v>88</v>
      </c>
      <c r="N8" s="28"/>
      <c r="O8" s="28"/>
      <c r="P8" s="16"/>
      <c r="Q8" s="16"/>
      <c r="R8" s="16"/>
      <c r="S8" s="16"/>
      <c r="T8" s="17" t="str">
        <f t="shared" si="2"/>
        <v/>
      </c>
    </row>
    <row r="9" ht="135.75" customHeight="1">
      <c r="A9" s="9" t="s">
        <v>78</v>
      </c>
      <c r="B9" s="8" t="str">
        <f t="shared" si="1"/>
        <v>TJKT-PC-008-26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25" t="s">
        <v>21</v>
      </c>
      <c r="K9" s="8" t="s">
        <v>21</v>
      </c>
      <c r="L9" s="26" t="s">
        <v>59</v>
      </c>
      <c r="M9" s="8" t="s">
        <v>21</v>
      </c>
      <c r="N9" s="28"/>
      <c r="O9" s="28"/>
      <c r="P9" s="16"/>
      <c r="Q9" s="16"/>
      <c r="R9" s="16"/>
      <c r="S9" s="16"/>
      <c r="T9" s="17" t="str">
        <f t="shared" si="2"/>
        <v/>
      </c>
    </row>
    <row r="10" ht="135.75" customHeight="1">
      <c r="A10" s="9" t="s">
        <v>82</v>
      </c>
      <c r="B10" s="18" t="str">
        <f t="shared" si="1"/>
        <v>TJKT-PC-009-26</v>
      </c>
      <c r="C10" s="18" t="s">
        <v>95</v>
      </c>
      <c r="D10" s="19" t="s">
        <v>96</v>
      </c>
      <c r="E10" s="19" t="s">
        <v>55</v>
      </c>
      <c r="F10" s="13" t="s">
        <v>97</v>
      </c>
      <c r="G10" s="19" t="s">
        <v>26</v>
      </c>
      <c r="H10" s="19" t="s">
        <v>28</v>
      </c>
      <c r="I10" s="19" t="s">
        <v>28</v>
      </c>
      <c r="J10" s="23" t="s">
        <v>98</v>
      </c>
      <c r="K10" s="19" t="s">
        <v>86</v>
      </c>
      <c r="L10" s="24" t="s">
        <v>36</v>
      </c>
      <c r="M10" s="19" t="s">
        <v>101</v>
      </c>
      <c r="N10" s="22"/>
      <c r="O10" s="22"/>
      <c r="P10" s="16"/>
      <c r="Q10" s="16"/>
      <c r="R10" s="16"/>
      <c r="S10" s="16"/>
      <c r="T10" s="17" t="str">
        <f t="shared" si="2"/>
        <v/>
      </c>
    </row>
    <row r="11" ht="135.75" customHeight="1">
      <c r="A11" s="9" t="s">
        <v>89</v>
      </c>
      <c r="B11" s="18" t="str">
        <f t="shared" si="1"/>
        <v>TJKT-PC-0010-26</v>
      </c>
      <c r="C11" s="18" t="s">
        <v>104</v>
      </c>
      <c r="D11" s="19" t="s">
        <v>105</v>
      </c>
      <c r="E11" s="19" t="s">
        <v>55</v>
      </c>
      <c r="F11" s="19" t="s">
        <v>66</v>
      </c>
      <c r="G11" s="19" t="s">
        <v>26</v>
      </c>
      <c r="H11" s="19" t="s">
        <v>28</v>
      </c>
      <c r="I11" s="19" t="s">
        <v>28</v>
      </c>
      <c r="J11" s="23" t="s">
        <v>98</v>
      </c>
      <c r="K11" s="19" t="s">
        <v>35</v>
      </c>
      <c r="L11" s="24" t="s">
        <v>36</v>
      </c>
      <c r="M11" s="19" t="s">
        <v>33</v>
      </c>
      <c r="N11" s="22"/>
      <c r="O11" s="22"/>
      <c r="P11" s="16"/>
      <c r="Q11" s="16"/>
      <c r="R11" s="16"/>
      <c r="S11" s="16"/>
      <c r="T11" s="17" t="str">
        <f t="shared" si="2"/>
        <v/>
      </c>
    </row>
    <row r="12" ht="135.75" customHeight="1">
      <c r="A12" s="9" t="s">
        <v>91</v>
      </c>
      <c r="B12" s="18" t="str">
        <f t="shared" si="1"/>
        <v>TJKT-PC-0011-26</v>
      </c>
      <c r="C12" s="18" t="s">
        <v>108</v>
      </c>
      <c r="D12" s="19" t="s">
        <v>64</v>
      </c>
      <c r="E12" s="19" t="s">
        <v>23</v>
      </c>
      <c r="F12" s="19" t="s">
        <v>66</v>
      </c>
      <c r="G12" s="19" t="s">
        <v>26</v>
      </c>
      <c r="H12" s="19" t="s">
        <v>28</v>
      </c>
      <c r="I12" s="19" t="s">
        <v>28</v>
      </c>
      <c r="J12" s="23" t="s">
        <v>85</v>
      </c>
      <c r="K12" s="19" t="s">
        <v>35</v>
      </c>
      <c r="L12" s="24" t="s">
        <v>36</v>
      </c>
      <c r="M12" s="19" t="s">
        <v>33</v>
      </c>
      <c r="N12" s="22"/>
      <c r="O12" s="22"/>
      <c r="P12" s="16"/>
      <c r="Q12" s="16"/>
      <c r="R12" s="16"/>
      <c r="S12" s="16"/>
      <c r="T12" s="17" t="str">
        <f t="shared" si="2"/>
        <v/>
      </c>
    </row>
    <row r="13" ht="135.75" customHeight="1">
      <c r="A13" s="9" t="s">
        <v>93</v>
      </c>
      <c r="B13" s="18" t="str">
        <f t="shared" si="1"/>
        <v>TJKT-PC-0012-26</v>
      </c>
      <c r="C13" s="18" t="s">
        <v>111</v>
      </c>
      <c r="D13" s="19" t="s">
        <v>112</v>
      </c>
      <c r="E13" s="19" t="s">
        <v>55</v>
      </c>
      <c r="F13" s="19" t="s">
        <v>114</v>
      </c>
      <c r="G13" s="19" t="s">
        <v>26</v>
      </c>
      <c r="H13" s="19" t="s">
        <v>28</v>
      </c>
      <c r="I13" s="19" t="s">
        <v>28</v>
      </c>
      <c r="J13" s="23" t="s">
        <v>44</v>
      </c>
      <c r="K13" s="19" t="s">
        <v>31</v>
      </c>
      <c r="L13" s="24" t="s">
        <v>36</v>
      </c>
      <c r="M13" s="19" t="s">
        <v>116</v>
      </c>
      <c r="N13" s="22"/>
      <c r="O13" s="22"/>
      <c r="P13" s="16"/>
      <c r="Q13" s="16"/>
      <c r="R13" s="16"/>
      <c r="S13" s="16"/>
      <c r="T13" s="17" t="str">
        <f t="shared" si="2"/>
        <v/>
      </c>
    </row>
    <row r="14" ht="135.75" customHeight="1">
      <c r="A14" s="9" t="s">
        <v>99</v>
      </c>
      <c r="B14" s="18" t="str">
        <f t="shared" si="1"/>
        <v>TJKT-PC-0013-26</v>
      </c>
      <c r="C14" s="18" t="s">
        <v>119</v>
      </c>
      <c r="D14" s="19" t="s">
        <v>120</v>
      </c>
      <c r="E14" s="19" t="s">
        <v>55</v>
      </c>
      <c r="F14" s="19" t="s">
        <v>66</v>
      </c>
      <c r="G14" s="19" t="s">
        <v>26</v>
      </c>
      <c r="H14" s="19" t="s">
        <v>28</v>
      </c>
      <c r="I14" s="19" t="s">
        <v>28</v>
      </c>
      <c r="J14" s="23" t="s">
        <v>121</v>
      </c>
      <c r="K14" s="19" t="s">
        <v>122</v>
      </c>
      <c r="L14" s="24" t="s">
        <v>36</v>
      </c>
      <c r="M14" s="19" t="s">
        <v>123</v>
      </c>
      <c r="N14" s="22"/>
      <c r="O14" s="22"/>
      <c r="P14" s="16"/>
      <c r="Q14" s="16"/>
      <c r="R14" s="16"/>
      <c r="S14" s="16"/>
      <c r="T14" s="17" t="str">
        <f t="shared" si="2"/>
        <v/>
      </c>
    </row>
    <row r="15" ht="135.75" customHeight="1">
      <c r="A15" s="9" t="s">
        <v>102</v>
      </c>
      <c r="B15" s="18" t="str">
        <f t="shared" si="1"/>
        <v>TJKT-PC-0014-26</v>
      </c>
      <c r="C15" s="18" t="s">
        <v>125</v>
      </c>
      <c r="D15" s="19" t="s">
        <v>120</v>
      </c>
      <c r="E15" s="19" t="s">
        <v>55</v>
      </c>
      <c r="F15" s="19" t="s">
        <v>66</v>
      </c>
      <c r="G15" s="19" t="s">
        <v>26</v>
      </c>
      <c r="H15" s="19" t="s">
        <v>28</v>
      </c>
      <c r="I15" s="19" t="s">
        <v>28</v>
      </c>
      <c r="J15" s="23" t="s">
        <v>121</v>
      </c>
      <c r="K15" s="19" t="s">
        <v>122</v>
      </c>
      <c r="L15" s="24" t="s">
        <v>36</v>
      </c>
      <c r="M15" s="19" t="s">
        <v>128</v>
      </c>
      <c r="N15" s="22"/>
      <c r="O15" s="22"/>
      <c r="P15" s="16"/>
      <c r="Q15" s="16"/>
      <c r="R15" s="16"/>
      <c r="S15" s="16"/>
      <c r="T15" s="17" t="str">
        <f t="shared" si="2"/>
        <v/>
      </c>
    </row>
    <row r="16" ht="135.75" customHeight="1">
      <c r="A16" s="9" t="s">
        <v>106</v>
      </c>
      <c r="B16" s="8" t="str">
        <f t="shared" si="1"/>
        <v>TJKT-PC-0015-26</v>
      </c>
      <c r="C16" s="8" t="s">
        <v>21</v>
      </c>
      <c r="D16" s="8" t="s">
        <v>130</v>
      </c>
      <c r="E16" s="8" t="s">
        <v>48</v>
      </c>
      <c r="F16" s="8">
        <v>128.0</v>
      </c>
      <c r="G16" s="8" t="s">
        <v>26</v>
      </c>
      <c r="H16" s="12" t="s">
        <v>28</v>
      </c>
      <c r="I16" s="12" t="s">
        <v>28</v>
      </c>
      <c r="J16" s="25" t="s">
        <v>132</v>
      </c>
      <c r="K16" s="8" t="s">
        <v>133</v>
      </c>
      <c r="L16" s="26" t="s">
        <v>134</v>
      </c>
      <c r="M16" s="8" t="s">
        <v>135</v>
      </c>
      <c r="N16" s="28"/>
      <c r="O16" s="28"/>
      <c r="P16" s="16"/>
      <c r="Q16" s="16"/>
      <c r="R16" s="16"/>
      <c r="S16" s="16"/>
      <c r="T16" s="17" t="str">
        <f t="shared" si="2"/>
        <v/>
      </c>
    </row>
    <row r="17" ht="135.75" customHeight="1">
      <c r="A17" s="9" t="s">
        <v>109</v>
      </c>
      <c r="B17" s="18" t="str">
        <f t="shared" si="1"/>
        <v>TJKT-PC-0016-26</v>
      </c>
      <c r="C17" s="18" t="s">
        <v>138</v>
      </c>
      <c r="D17" s="19" t="s">
        <v>64</v>
      </c>
      <c r="E17" s="19" t="s">
        <v>139</v>
      </c>
      <c r="F17" s="19" t="s">
        <v>66</v>
      </c>
      <c r="G17" s="19" t="s">
        <v>26</v>
      </c>
      <c r="H17" s="19" t="s">
        <v>28</v>
      </c>
      <c r="I17" s="19" t="s">
        <v>28</v>
      </c>
      <c r="J17" s="23" t="s">
        <v>57</v>
      </c>
      <c r="K17" s="19" t="s">
        <v>35</v>
      </c>
      <c r="L17" s="24" t="s">
        <v>36</v>
      </c>
      <c r="M17" s="19" t="s">
        <v>33</v>
      </c>
      <c r="N17" s="22"/>
      <c r="O17" s="22"/>
      <c r="P17" s="16"/>
      <c r="Q17" s="16"/>
      <c r="R17" s="16"/>
      <c r="S17" s="16"/>
      <c r="T17" s="17" t="str">
        <f t="shared" si="2"/>
        <v/>
      </c>
    </row>
    <row r="18" ht="135.75" customHeight="1">
      <c r="A18" s="9" t="s">
        <v>113</v>
      </c>
      <c r="B18" s="18" t="str">
        <f t="shared" si="1"/>
        <v>TJKT-PC-0017-26</v>
      </c>
      <c r="C18" s="18" t="s">
        <v>144</v>
      </c>
      <c r="D18" s="19" t="s">
        <v>64</v>
      </c>
      <c r="E18" s="19" t="s">
        <v>146</v>
      </c>
      <c r="F18" s="19" t="s">
        <v>66</v>
      </c>
      <c r="G18" s="19" t="s">
        <v>26</v>
      </c>
      <c r="H18" s="19" t="s">
        <v>28</v>
      </c>
      <c r="I18" s="19" t="s">
        <v>28</v>
      </c>
      <c r="J18" s="23" t="s">
        <v>121</v>
      </c>
      <c r="K18" s="19" t="s">
        <v>35</v>
      </c>
      <c r="L18" s="24" t="s">
        <v>36</v>
      </c>
      <c r="M18" s="19" t="s">
        <v>33</v>
      </c>
      <c r="N18" s="22"/>
      <c r="O18" s="22"/>
      <c r="P18" s="16"/>
      <c r="Q18" s="16"/>
      <c r="R18" s="16"/>
      <c r="S18" s="16"/>
      <c r="T18" s="17" t="str">
        <f t="shared" si="2"/>
        <v/>
      </c>
    </row>
    <row r="19" ht="135.75" customHeight="1">
      <c r="A19" s="9" t="s">
        <v>117</v>
      </c>
      <c r="B19" s="18" t="str">
        <f t="shared" si="1"/>
        <v>TJKT-PC-0018-26</v>
      </c>
      <c r="C19" s="18" t="s">
        <v>157</v>
      </c>
      <c r="D19" s="19" t="s">
        <v>53</v>
      </c>
      <c r="E19" s="19" t="s">
        <v>158</v>
      </c>
      <c r="F19" s="19" t="s">
        <v>160</v>
      </c>
      <c r="G19" s="19" t="s">
        <v>26</v>
      </c>
      <c r="H19" s="19" t="s">
        <v>28</v>
      </c>
      <c r="I19" s="19" t="s">
        <v>28</v>
      </c>
      <c r="J19" s="23" t="s">
        <v>163</v>
      </c>
      <c r="K19" s="19" t="s">
        <v>133</v>
      </c>
      <c r="L19" s="24" t="s">
        <v>36</v>
      </c>
      <c r="M19" s="19" t="s">
        <v>135</v>
      </c>
      <c r="N19" s="22"/>
      <c r="O19" s="22"/>
      <c r="P19" s="16"/>
      <c r="Q19" s="16"/>
      <c r="R19" s="16"/>
      <c r="S19" s="16"/>
      <c r="T19" s="17" t="str">
        <f t="shared" si="2"/>
        <v/>
      </c>
    </row>
    <row r="20" ht="135.75" customHeight="1">
      <c r="A20" s="9" t="s">
        <v>124</v>
      </c>
      <c r="B20" s="18" t="str">
        <f t="shared" si="1"/>
        <v>TJKT-PC-0019-26</v>
      </c>
      <c r="C20" s="18" t="s">
        <v>165</v>
      </c>
      <c r="D20" s="19" t="s">
        <v>168</v>
      </c>
      <c r="E20" s="19" t="s">
        <v>55</v>
      </c>
      <c r="F20" s="19" t="s">
        <v>66</v>
      </c>
      <c r="G20" s="19" t="s">
        <v>26</v>
      </c>
      <c r="H20" s="19" t="s">
        <v>28</v>
      </c>
      <c r="I20" s="19" t="s">
        <v>28</v>
      </c>
      <c r="J20" s="23" t="s">
        <v>85</v>
      </c>
      <c r="K20" s="19" t="s">
        <v>122</v>
      </c>
      <c r="L20" s="24" t="s">
        <v>36</v>
      </c>
      <c r="M20" s="19" t="s">
        <v>169</v>
      </c>
      <c r="N20" s="22"/>
      <c r="O20" s="22"/>
      <c r="P20" s="16"/>
      <c r="Q20" s="16"/>
      <c r="R20" s="16"/>
      <c r="S20" s="16"/>
      <c r="T20" s="17" t="str">
        <f t="shared" si="2"/>
        <v/>
      </c>
    </row>
    <row r="21" ht="135.75" customHeight="1">
      <c r="A21" s="9" t="s">
        <v>126</v>
      </c>
      <c r="B21" s="18" t="str">
        <f t="shared" si="1"/>
        <v>TJKT-PC-0020-26</v>
      </c>
      <c r="C21" s="18" t="s">
        <v>172</v>
      </c>
      <c r="D21" s="19" t="s">
        <v>174</v>
      </c>
      <c r="E21" s="19" t="s">
        <v>147</v>
      </c>
      <c r="F21" s="19" t="s">
        <v>156</v>
      </c>
      <c r="G21" s="19" t="s">
        <v>26</v>
      </c>
      <c r="H21" s="19" t="s">
        <v>28</v>
      </c>
      <c r="I21" s="19" t="s">
        <v>28</v>
      </c>
      <c r="J21" s="23" t="s">
        <v>57</v>
      </c>
      <c r="K21" s="19" t="s">
        <v>175</v>
      </c>
      <c r="L21" s="24" t="s">
        <v>36</v>
      </c>
      <c r="M21" s="19" t="s">
        <v>178</v>
      </c>
      <c r="N21" s="22"/>
      <c r="O21" s="22"/>
      <c r="P21" s="16"/>
      <c r="Q21" s="16"/>
      <c r="R21" s="16"/>
      <c r="S21" s="16"/>
      <c r="T21" s="17" t="str">
        <f t="shared" si="2"/>
        <v/>
      </c>
    </row>
    <row r="22" ht="135.75" customHeight="1">
      <c r="A22" s="9" t="s">
        <v>129</v>
      </c>
      <c r="B22" s="18" t="str">
        <f t="shared" si="1"/>
        <v>TJKT-PC-0021-26</v>
      </c>
      <c r="C22" s="18" t="s">
        <v>180</v>
      </c>
      <c r="D22" s="19" t="s">
        <v>112</v>
      </c>
      <c r="E22" s="19" t="s">
        <v>55</v>
      </c>
      <c r="F22" s="19" t="s">
        <v>182</v>
      </c>
      <c r="G22" s="19" t="s">
        <v>26</v>
      </c>
      <c r="H22" s="19" t="s">
        <v>28</v>
      </c>
      <c r="I22" s="19" t="s">
        <v>28</v>
      </c>
      <c r="J22" s="23" t="s">
        <v>98</v>
      </c>
      <c r="K22" s="19" t="s">
        <v>86</v>
      </c>
      <c r="L22" s="24" t="s">
        <v>36</v>
      </c>
      <c r="M22" s="19" t="s">
        <v>184</v>
      </c>
      <c r="N22" s="22"/>
      <c r="O22" s="22"/>
      <c r="P22" s="16"/>
      <c r="Q22" s="16"/>
      <c r="R22" s="16"/>
      <c r="S22" s="16"/>
      <c r="T22" s="17" t="str">
        <f t="shared" si="2"/>
        <v/>
      </c>
    </row>
    <row r="23" ht="135.75" customHeight="1">
      <c r="A23" s="9" t="s">
        <v>136</v>
      </c>
      <c r="B23" s="33" t="str">
        <f t="shared" si="1"/>
        <v>TJKT-PC-0022-26</v>
      </c>
      <c r="C23" s="33" t="s">
        <v>21</v>
      </c>
      <c r="D23" s="33" t="s">
        <v>21</v>
      </c>
      <c r="E23" s="33" t="s">
        <v>21</v>
      </c>
      <c r="F23" s="33" t="s">
        <v>21</v>
      </c>
      <c r="G23" s="33" t="s">
        <v>21</v>
      </c>
      <c r="H23" s="33" t="s">
        <v>21</v>
      </c>
      <c r="I23" s="33" t="s">
        <v>21</v>
      </c>
      <c r="J23" s="34" t="s">
        <v>21</v>
      </c>
      <c r="K23" s="33" t="s">
        <v>21</v>
      </c>
      <c r="L23" s="35" t="s">
        <v>59</v>
      </c>
      <c r="M23" s="33" t="s">
        <v>21</v>
      </c>
      <c r="N23" s="36"/>
      <c r="O23" s="36"/>
      <c r="P23" s="16"/>
      <c r="Q23" s="16"/>
      <c r="R23" s="16"/>
      <c r="S23" s="16"/>
      <c r="T23" s="17" t="str">
        <f t="shared" si="2"/>
        <v/>
      </c>
    </row>
    <row r="24" ht="135.75" customHeight="1">
      <c r="A24" s="9" t="s">
        <v>140</v>
      </c>
      <c r="B24" s="33" t="str">
        <f t="shared" si="1"/>
        <v>TJKT-PC-0023-26</v>
      </c>
      <c r="C24" s="33" t="s">
        <v>21</v>
      </c>
      <c r="D24" s="33" t="s">
        <v>21</v>
      </c>
      <c r="E24" s="33" t="s">
        <v>21</v>
      </c>
      <c r="F24" s="33" t="s">
        <v>21</v>
      </c>
      <c r="G24" s="33" t="s">
        <v>21</v>
      </c>
      <c r="H24" s="33" t="s">
        <v>21</v>
      </c>
      <c r="I24" s="33" t="s">
        <v>21</v>
      </c>
      <c r="J24" s="34" t="s">
        <v>21</v>
      </c>
      <c r="K24" s="33" t="s">
        <v>21</v>
      </c>
      <c r="L24" s="35" t="s">
        <v>59</v>
      </c>
      <c r="M24" s="33" t="s">
        <v>21</v>
      </c>
      <c r="N24" s="36"/>
      <c r="O24" s="36"/>
      <c r="P24" s="16"/>
      <c r="Q24" s="16"/>
      <c r="R24" s="16"/>
      <c r="S24" s="16"/>
      <c r="T24" s="17" t="str">
        <f t="shared" si="2"/>
        <v/>
      </c>
    </row>
    <row r="25" ht="135.75" customHeight="1">
      <c r="A25" s="9" t="s">
        <v>153</v>
      </c>
      <c r="B25" s="13" t="str">
        <f t="shared" si="1"/>
        <v>TJKT-PC-0024-26</v>
      </c>
      <c r="C25" s="13" t="s">
        <v>21</v>
      </c>
      <c r="D25" s="13" t="s">
        <v>130</v>
      </c>
      <c r="E25" s="13" t="s">
        <v>48</v>
      </c>
      <c r="F25" s="13" t="s">
        <v>25</v>
      </c>
      <c r="G25" s="13" t="s">
        <v>26</v>
      </c>
      <c r="H25" s="13" t="s">
        <v>28</v>
      </c>
      <c r="I25" s="13" t="s">
        <v>28</v>
      </c>
      <c r="J25" s="29" t="s">
        <v>132</v>
      </c>
      <c r="K25" s="13" t="s">
        <v>133</v>
      </c>
      <c r="L25" s="30" t="s">
        <v>134</v>
      </c>
      <c r="M25" s="13" t="s">
        <v>135</v>
      </c>
      <c r="N25" s="37"/>
      <c r="O25" s="37"/>
      <c r="P25" s="16"/>
      <c r="Q25" s="16"/>
      <c r="R25" s="16"/>
      <c r="S25" s="16"/>
      <c r="T25" s="17" t="str">
        <f t="shared" si="2"/>
        <v/>
      </c>
    </row>
    <row r="26" ht="135.75" customHeight="1">
      <c r="A26" s="9" t="s">
        <v>161</v>
      </c>
      <c r="B26" s="18" t="str">
        <f t="shared" si="1"/>
        <v>TJKT-PC-0025-26</v>
      </c>
      <c r="C26" s="18" t="s">
        <v>199</v>
      </c>
      <c r="D26" s="19" t="s">
        <v>53</v>
      </c>
      <c r="E26" s="19" t="s">
        <v>55</v>
      </c>
      <c r="F26" s="19" t="s">
        <v>156</v>
      </c>
      <c r="G26" s="19" t="s">
        <v>26</v>
      </c>
      <c r="H26" s="19" t="s">
        <v>28</v>
      </c>
      <c r="I26" s="19" t="s">
        <v>28</v>
      </c>
      <c r="J26" s="23" t="s">
        <v>98</v>
      </c>
      <c r="K26" s="19" t="s">
        <v>201</v>
      </c>
      <c r="L26" s="24" t="s">
        <v>36</v>
      </c>
      <c r="M26" s="19" t="s">
        <v>202</v>
      </c>
      <c r="N26" s="22"/>
      <c r="O26" s="22"/>
      <c r="P26" s="16"/>
      <c r="Q26" s="16"/>
      <c r="R26" s="16"/>
      <c r="S26" s="16"/>
      <c r="T26" s="17" t="str">
        <f t="shared" si="2"/>
        <v/>
      </c>
    </row>
    <row r="27" ht="135.75" customHeight="1">
      <c r="A27" s="9" t="s">
        <v>164</v>
      </c>
      <c r="B27" s="13" t="str">
        <f t="shared" si="1"/>
        <v>TJKT-PC-0026-26</v>
      </c>
      <c r="C27" s="13" t="s">
        <v>206</v>
      </c>
      <c r="D27" s="13" t="s">
        <v>207</v>
      </c>
      <c r="E27" s="13" t="s">
        <v>48</v>
      </c>
      <c r="F27" s="13" t="s">
        <v>25</v>
      </c>
      <c r="G27" s="13" t="s">
        <v>26</v>
      </c>
      <c r="H27" s="13" t="s">
        <v>28</v>
      </c>
      <c r="I27" s="13" t="s">
        <v>28</v>
      </c>
      <c r="J27" s="29" t="s">
        <v>85</v>
      </c>
      <c r="K27" s="13" t="s">
        <v>31</v>
      </c>
      <c r="L27" s="30" t="s">
        <v>36</v>
      </c>
      <c r="M27" s="13" t="s">
        <v>116</v>
      </c>
      <c r="N27" s="37"/>
      <c r="O27" s="37"/>
      <c r="P27" s="16"/>
      <c r="Q27" s="16"/>
      <c r="R27" s="16"/>
      <c r="S27" s="16"/>
      <c r="T27" s="17" t="str">
        <f t="shared" si="2"/>
        <v/>
      </c>
    </row>
    <row r="28" ht="135.75" customHeight="1">
      <c r="A28" s="9" t="s">
        <v>170</v>
      </c>
      <c r="B28" s="18" t="str">
        <f t="shared" si="1"/>
        <v>TJKT-PC-0027-26</v>
      </c>
      <c r="C28" s="18" t="s">
        <v>211</v>
      </c>
      <c r="D28" s="19" t="s">
        <v>112</v>
      </c>
      <c r="E28" s="19" t="s">
        <v>55</v>
      </c>
      <c r="F28" s="19" t="s">
        <v>182</v>
      </c>
      <c r="G28" s="19" t="s">
        <v>26</v>
      </c>
      <c r="H28" s="19" t="s">
        <v>121</v>
      </c>
      <c r="I28" s="19" t="s">
        <v>121</v>
      </c>
      <c r="J28" s="23" t="s">
        <v>163</v>
      </c>
      <c r="K28" s="19" t="s">
        <v>31</v>
      </c>
      <c r="L28" s="30" t="s">
        <v>36</v>
      </c>
      <c r="M28" s="19" t="s">
        <v>169</v>
      </c>
      <c r="N28" s="22"/>
      <c r="O28" s="22"/>
      <c r="P28" s="16"/>
      <c r="Q28" s="16"/>
      <c r="R28" s="16"/>
      <c r="S28" s="16"/>
      <c r="T28" s="17" t="str">
        <f t="shared" si="2"/>
        <v/>
      </c>
    </row>
    <row r="29" ht="135.75" customHeight="1">
      <c r="A29" s="9" t="s">
        <v>176</v>
      </c>
      <c r="B29" s="18" t="str">
        <f t="shared" si="1"/>
        <v>TJKT-PC-0028-26</v>
      </c>
      <c r="C29" s="18" t="s">
        <v>214</v>
      </c>
      <c r="D29" s="19" t="s">
        <v>112</v>
      </c>
      <c r="E29" s="19" t="s">
        <v>55</v>
      </c>
      <c r="F29" s="19" t="s">
        <v>182</v>
      </c>
      <c r="G29" s="19" t="s">
        <v>26</v>
      </c>
      <c r="H29" s="19" t="s">
        <v>28</v>
      </c>
      <c r="I29" s="19" t="s">
        <v>28</v>
      </c>
      <c r="J29" s="23" t="s">
        <v>163</v>
      </c>
      <c r="K29" s="19" t="s">
        <v>31</v>
      </c>
      <c r="L29" s="30" t="s">
        <v>36</v>
      </c>
      <c r="M29" s="19" t="s">
        <v>216</v>
      </c>
      <c r="N29" s="22"/>
      <c r="O29" s="22"/>
      <c r="P29" s="16"/>
      <c r="Q29" s="16"/>
      <c r="R29" s="16"/>
      <c r="S29" s="16"/>
      <c r="T29" s="17" t="str">
        <f t="shared" si="2"/>
        <v/>
      </c>
    </row>
    <row r="30" ht="135.75" customHeight="1">
      <c r="A30" s="9" t="s">
        <v>181</v>
      </c>
      <c r="B30" s="33" t="str">
        <f t="shared" si="1"/>
        <v>TJKT-PC-0029-26</v>
      </c>
      <c r="C30" s="33" t="s">
        <v>21</v>
      </c>
      <c r="D30" s="33" t="s">
        <v>21</v>
      </c>
      <c r="E30" s="33" t="s">
        <v>21</v>
      </c>
      <c r="F30" s="33" t="s">
        <v>21</v>
      </c>
      <c r="G30" s="33" t="s">
        <v>21</v>
      </c>
      <c r="H30" s="33" t="s">
        <v>28</v>
      </c>
      <c r="I30" s="33" t="s">
        <v>28</v>
      </c>
      <c r="J30" s="34" t="s">
        <v>163</v>
      </c>
      <c r="K30" s="33" t="s">
        <v>21</v>
      </c>
      <c r="L30" s="35" t="s">
        <v>59</v>
      </c>
      <c r="M30" s="33" t="s">
        <v>21</v>
      </c>
      <c r="N30" s="36"/>
      <c r="O30" s="36"/>
      <c r="P30" s="16"/>
      <c r="Q30" s="16"/>
      <c r="R30" s="16"/>
      <c r="S30" s="16"/>
      <c r="T30" s="17" t="str">
        <f t="shared" si="2"/>
        <v/>
      </c>
    </row>
    <row r="31" ht="135.75" customHeight="1">
      <c r="A31" s="9" t="s">
        <v>186</v>
      </c>
      <c r="B31" s="13" t="str">
        <f t="shared" si="1"/>
        <v>TJKT-PC-0030-26</v>
      </c>
      <c r="C31" s="13" t="s">
        <v>218</v>
      </c>
      <c r="D31" s="13" t="s">
        <v>130</v>
      </c>
      <c r="E31" s="13" t="s">
        <v>48</v>
      </c>
      <c r="F31" s="13" t="s">
        <v>29</v>
      </c>
      <c r="G31" s="13" t="s">
        <v>26</v>
      </c>
      <c r="H31" s="13" t="s">
        <v>28</v>
      </c>
      <c r="I31" s="13" t="s">
        <v>28</v>
      </c>
      <c r="J31" s="29" t="s">
        <v>163</v>
      </c>
      <c r="K31" s="13" t="s">
        <v>133</v>
      </c>
      <c r="L31" s="30" t="s">
        <v>36</v>
      </c>
      <c r="M31" s="13" t="s">
        <v>135</v>
      </c>
      <c r="N31" s="37"/>
      <c r="O31" s="37"/>
      <c r="P31" s="16"/>
      <c r="Q31" s="16"/>
      <c r="R31" s="16"/>
      <c r="S31" s="16"/>
      <c r="T31" s="17" t="str">
        <f t="shared" si="2"/>
        <v/>
      </c>
    </row>
    <row r="32" ht="135.75" customHeight="1">
      <c r="A32" s="9" t="s">
        <v>189</v>
      </c>
      <c r="B32" s="13" t="str">
        <f t="shared" si="1"/>
        <v>TJKT-PC-0031-26</v>
      </c>
      <c r="C32" s="13" t="s">
        <v>220</v>
      </c>
      <c r="D32" s="13" t="s">
        <v>130</v>
      </c>
      <c r="E32" s="13" t="s">
        <v>48</v>
      </c>
      <c r="F32" s="13" t="s">
        <v>25</v>
      </c>
      <c r="G32" s="13" t="s">
        <v>26</v>
      </c>
      <c r="H32" s="13" t="s">
        <v>28</v>
      </c>
      <c r="I32" s="13" t="s">
        <v>28</v>
      </c>
      <c r="J32" s="29" t="s">
        <v>98</v>
      </c>
      <c r="K32" s="13" t="s">
        <v>133</v>
      </c>
      <c r="L32" s="30" t="s">
        <v>36</v>
      </c>
      <c r="M32" s="13" t="s">
        <v>135</v>
      </c>
      <c r="N32" s="37"/>
      <c r="O32" s="37"/>
      <c r="P32" s="16"/>
      <c r="Q32" s="16"/>
      <c r="R32" s="16"/>
      <c r="S32" s="16"/>
      <c r="T32" s="17" t="str">
        <f t="shared" si="2"/>
        <v/>
      </c>
    </row>
    <row r="33" ht="135.75" customHeight="1">
      <c r="A33" s="9" t="s">
        <v>191</v>
      </c>
      <c r="B33" s="18" t="str">
        <f t="shared" si="1"/>
        <v>TJKT-PC-0032-26</v>
      </c>
      <c r="C33" s="18" t="s">
        <v>222</v>
      </c>
      <c r="D33" s="19" t="s">
        <v>112</v>
      </c>
      <c r="E33" s="19" t="s">
        <v>223</v>
      </c>
      <c r="F33" s="19" t="s">
        <v>182</v>
      </c>
      <c r="G33" s="19" t="s">
        <v>26</v>
      </c>
      <c r="H33" s="19" t="s">
        <v>28</v>
      </c>
      <c r="I33" s="19" t="s">
        <v>28</v>
      </c>
      <c r="J33" s="23" t="s">
        <v>85</v>
      </c>
      <c r="K33" s="19" t="s">
        <v>31</v>
      </c>
      <c r="L33" s="30" t="s">
        <v>36</v>
      </c>
      <c r="M33" s="19" t="s">
        <v>225</v>
      </c>
      <c r="N33" s="22"/>
      <c r="O33" s="22"/>
      <c r="P33" s="16"/>
      <c r="Q33" s="16"/>
      <c r="R33" s="16"/>
      <c r="S33" s="16"/>
      <c r="T33" s="17" t="str">
        <f t="shared" si="2"/>
        <v/>
      </c>
    </row>
    <row r="34" ht="135.75" customHeight="1">
      <c r="A34" s="9" t="s">
        <v>194</v>
      </c>
      <c r="B34" s="13" t="str">
        <f t="shared" si="1"/>
        <v>TJKT-PC-0033-26</v>
      </c>
      <c r="C34" s="13" t="s">
        <v>229</v>
      </c>
      <c r="D34" s="13" t="s">
        <v>207</v>
      </c>
      <c r="E34" s="13" t="s">
        <v>48</v>
      </c>
      <c r="F34" s="13" t="s">
        <v>29</v>
      </c>
      <c r="G34" s="13" t="s">
        <v>26</v>
      </c>
      <c r="H34" s="13" t="s">
        <v>28</v>
      </c>
      <c r="I34" s="13" t="s">
        <v>28</v>
      </c>
      <c r="J34" s="29" t="s">
        <v>98</v>
      </c>
      <c r="K34" s="13" t="s">
        <v>31</v>
      </c>
      <c r="L34" s="30" t="s">
        <v>36</v>
      </c>
      <c r="M34" s="13" t="s">
        <v>116</v>
      </c>
      <c r="N34" s="37"/>
      <c r="O34" s="37"/>
      <c r="P34" s="16"/>
      <c r="Q34" s="16"/>
      <c r="R34" s="16"/>
      <c r="S34" s="16"/>
      <c r="T34" s="17" t="str">
        <f t="shared" si="2"/>
        <v/>
      </c>
    </row>
    <row r="35" ht="135.75" customHeight="1">
      <c r="A35" s="9" t="s">
        <v>197</v>
      </c>
      <c r="B35" s="18" t="str">
        <f t="shared" si="1"/>
        <v>TJKT-PC-0034-26</v>
      </c>
      <c r="C35" s="18" t="s">
        <v>234</v>
      </c>
      <c r="D35" s="19" t="s">
        <v>235</v>
      </c>
      <c r="E35" s="19" t="s">
        <v>55</v>
      </c>
      <c r="F35" s="19" t="s">
        <v>182</v>
      </c>
      <c r="G35" s="19" t="s">
        <v>26</v>
      </c>
      <c r="H35" s="19" t="s">
        <v>28</v>
      </c>
      <c r="I35" s="19" t="s">
        <v>28</v>
      </c>
      <c r="J35" s="23" t="s">
        <v>98</v>
      </c>
      <c r="K35" s="19" t="s">
        <v>201</v>
      </c>
      <c r="L35" s="30" t="s">
        <v>36</v>
      </c>
      <c r="M35" s="19" t="s">
        <v>239</v>
      </c>
      <c r="N35" s="22"/>
      <c r="O35" s="22"/>
      <c r="P35" s="16"/>
      <c r="Q35" s="16"/>
      <c r="R35" s="16"/>
      <c r="S35" s="16"/>
      <c r="T35" s="17" t="str">
        <f t="shared" si="2"/>
        <v/>
      </c>
    </row>
    <row r="36" ht="135.75" customHeight="1">
      <c r="A36" s="9" t="s">
        <v>203</v>
      </c>
      <c r="B36" s="13" t="str">
        <f t="shared" si="1"/>
        <v>TJKT-PC-0035-26</v>
      </c>
      <c r="C36" s="13" t="s">
        <v>242</v>
      </c>
      <c r="D36" s="13" t="s">
        <v>130</v>
      </c>
      <c r="E36" s="13" t="s">
        <v>48</v>
      </c>
      <c r="F36" s="13" t="s">
        <v>29</v>
      </c>
      <c r="G36" s="13" t="s">
        <v>26</v>
      </c>
      <c r="H36" s="13" t="s">
        <v>28</v>
      </c>
      <c r="I36" s="13" t="s">
        <v>28</v>
      </c>
      <c r="J36" s="29" t="s">
        <v>98</v>
      </c>
      <c r="K36" s="13" t="s">
        <v>201</v>
      </c>
      <c r="L36" s="30" t="s">
        <v>36</v>
      </c>
      <c r="M36" s="13" t="s">
        <v>228</v>
      </c>
      <c r="N36" s="37"/>
      <c r="O36" s="37"/>
      <c r="P36" s="16"/>
      <c r="Q36" s="16"/>
      <c r="R36" s="16"/>
      <c r="S36" s="16"/>
      <c r="T36" s="17" t="str">
        <f t="shared" si="2"/>
        <v/>
      </c>
    </row>
    <row r="37" ht="14.25" customHeight="1">
      <c r="T37" s="2"/>
    </row>
    <row r="38" ht="14.25" customHeight="1">
      <c r="T38" s="2"/>
    </row>
    <row r="39" ht="14.25" customHeight="1">
      <c r="T39" s="2"/>
    </row>
    <row r="40" ht="14.25" customHeight="1">
      <c r="T40" s="2"/>
    </row>
    <row r="41" ht="14.25" customHeight="1">
      <c r="T41" s="2"/>
    </row>
    <row r="42" ht="14.25" customHeight="1">
      <c r="T42" s="2"/>
    </row>
    <row r="43" ht="14.25" customHeight="1">
      <c r="T43" s="2"/>
    </row>
    <row r="44" ht="14.25" customHeight="1">
      <c r="T44" s="2"/>
    </row>
    <row r="45" ht="14.25" customHeight="1">
      <c r="T45" s="2"/>
    </row>
    <row r="46" ht="14.25" customHeight="1">
      <c r="T46" s="2"/>
    </row>
    <row r="47" ht="14.25" customHeight="1">
      <c r="T47" s="2"/>
    </row>
    <row r="48" ht="14.25" customHeight="1">
      <c r="T48" s="2"/>
    </row>
    <row r="49" ht="14.25" customHeight="1">
      <c r="T49" s="2"/>
    </row>
    <row r="50" ht="14.25" customHeight="1">
      <c r="T50" s="2"/>
    </row>
    <row r="51" ht="14.25" customHeight="1">
      <c r="T51" s="2"/>
    </row>
    <row r="52" ht="14.25" customHeight="1">
      <c r="T52" s="2"/>
    </row>
    <row r="53" ht="14.25" customHeight="1">
      <c r="T53" s="2"/>
    </row>
    <row r="54" ht="14.25" customHeight="1">
      <c r="T54" s="2"/>
    </row>
    <row r="55" ht="14.25" customHeight="1">
      <c r="T55" s="2"/>
    </row>
    <row r="56" ht="14.25" customHeight="1">
      <c r="T56" s="2"/>
    </row>
    <row r="57" ht="14.25" customHeight="1">
      <c r="T57" s="2"/>
    </row>
    <row r="58" ht="14.25" customHeight="1">
      <c r="T58" s="2"/>
    </row>
    <row r="59" ht="14.25" customHeight="1">
      <c r="T59" s="2"/>
    </row>
    <row r="60" ht="14.25" customHeight="1">
      <c r="T60" s="2"/>
    </row>
    <row r="61" ht="14.25" customHeight="1">
      <c r="T61" s="2"/>
    </row>
    <row r="62" ht="14.25" customHeight="1">
      <c r="T62" s="2"/>
    </row>
    <row r="63" ht="14.25" customHeight="1">
      <c r="T63" s="2"/>
    </row>
    <row r="64" ht="14.25" customHeight="1">
      <c r="T64" s="2"/>
    </row>
    <row r="65" ht="14.25" customHeight="1">
      <c r="T65" s="2"/>
    </row>
    <row r="66" ht="14.25" customHeight="1">
      <c r="T66" s="2"/>
    </row>
    <row r="67" ht="14.25" customHeight="1">
      <c r="T67" s="2"/>
    </row>
    <row r="68" ht="14.25" customHeight="1">
      <c r="T68" s="2"/>
    </row>
    <row r="69" ht="14.25" customHeight="1">
      <c r="T69" s="2"/>
    </row>
    <row r="70" ht="14.25" customHeight="1">
      <c r="T70" s="2"/>
    </row>
    <row r="71" ht="14.25" customHeight="1">
      <c r="T71" s="2"/>
    </row>
    <row r="72" ht="14.25" customHeight="1">
      <c r="T72" s="2"/>
    </row>
    <row r="73" ht="14.25" customHeight="1">
      <c r="T73" s="2"/>
    </row>
    <row r="74" ht="14.25" customHeight="1">
      <c r="T74" s="2"/>
    </row>
    <row r="75" ht="14.25" customHeight="1">
      <c r="T75" s="2"/>
    </row>
    <row r="76" ht="14.25" customHeight="1">
      <c r="T76" s="2"/>
    </row>
    <row r="77" ht="14.25" customHeight="1">
      <c r="T77" s="2"/>
    </row>
    <row r="78" ht="14.25" customHeight="1">
      <c r="T78" s="2"/>
    </row>
    <row r="79" ht="14.25" customHeight="1">
      <c r="T79" s="2"/>
    </row>
    <row r="80" ht="14.25" customHeight="1">
      <c r="T80" s="2"/>
    </row>
    <row r="81" ht="14.25" customHeight="1">
      <c r="T81" s="2"/>
    </row>
    <row r="82" ht="14.25" customHeight="1">
      <c r="T82" s="2"/>
    </row>
    <row r="83" ht="14.25" customHeight="1">
      <c r="T83" s="2"/>
    </row>
    <row r="84" ht="14.25" customHeight="1">
      <c r="T84" s="2"/>
    </row>
    <row r="85" ht="14.25" customHeight="1">
      <c r="T85" s="2"/>
    </row>
    <row r="86" ht="14.25" customHeight="1">
      <c r="T86" s="2"/>
    </row>
    <row r="87" ht="14.25" customHeight="1">
      <c r="T87" s="2"/>
    </row>
    <row r="88" ht="14.25" customHeight="1">
      <c r="T88" s="2"/>
    </row>
    <row r="89" ht="14.25" customHeight="1">
      <c r="T89" s="2"/>
    </row>
    <row r="90" ht="14.25" customHeight="1">
      <c r="T90" s="2"/>
    </row>
    <row r="91" ht="14.25" customHeight="1">
      <c r="T91" s="2"/>
    </row>
    <row r="92" ht="14.25" customHeight="1">
      <c r="T92" s="2"/>
    </row>
    <row r="93" ht="14.25" customHeight="1">
      <c r="T93" s="2"/>
    </row>
    <row r="94" ht="14.25" customHeight="1">
      <c r="T94" s="2"/>
    </row>
    <row r="95" ht="14.25" customHeight="1">
      <c r="T95" s="2"/>
    </row>
    <row r="96" ht="14.25" customHeight="1">
      <c r="T96" s="2"/>
    </row>
    <row r="97" ht="14.25" customHeight="1">
      <c r="T97" s="2"/>
    </row>
    <row r="98" ht="14.25" customHeight="1">
      <c r="T98" s="2"/>
    </row>
    <row r="99" ht="14.25" customHeight="1">
      <c r="T99" s="2"/>
    </row>
    <row r="100" ht="14.25" customHeight="1">
      <c r="T100" s="2"/>
    </row>
    <row r="101" ht="14.25" customHeight="1">
      <c r="T101" s="2"/>
    </row>
    <row r="102" ht="14.25" customHeight="1">
      <c r="T102" s="2"/>
    </row>
    <row r="103" ht="14.25" customHeight="1">
      <c r="T103" s="2"/>
    </row>
    <row r="104" ht="14.25" customHeight="1">
      <c r="T104" s="2"/>
    </row>
    <row r="105" ht="14.25" customHeight="1">
      <c r="T105" s="2"/>
    </row>
    <row r="106" ht="14.25" customHeight="1">
      <c r="T106" s="2"/>
    </row>
    <row r="107" ht="14.25" customHeight="1">
      <c r="T107" s="2"/>
    </row>
    <row r="108" ht="14.25" customHeight="1">
      <c r="T108" s="2"/>
    </row>
    <row r="109" ht="14.25" customHeight="1">
      <c r="T109" s="2"/>
    </row>
    <row r="110" ht="14.25" customHeight="1">
      <c r="T110" s="2"/>
    </row>
    <row r="111" ht="14.25" customHeight="1">
      <c r="T111" s="2"/>
    </row>
    <row r="112" ht="14.25" customHeight="1">
      <c r="T112" s="2"/>
    </row>
    <row r="113" ht="14.25" customHeight="1">
      <c r="T113" s="2"/>
    </row>
    <row r="114" ht="14.25" customHeight="1">
      <c r="T114" s="2"/>
    </row>
    <row r="115" ht="14.25" customHeight="1">
      <c r="T115" s="2"/>
    </row>
    <row r="116" ht="14.25" customHeight="1">
      <c r="T116" s="2"/>
    </row>
    <row r="117" ht="14.25" customHeight="1">
      <c r="T117" s="2"/>
    </row>
    <row r="118" ht="14.25" customHeight="1">
      <c r="T118" s="2"/>
    </row>
    <row r="119" ht="14.25" customHeight="1">
      <c r="T119" s="2"/>
    </row>
    <row r="120" ht="14.25" customHeight="1">
      <c r="T120" s="2"/>
    </row>
    <row r="121" ht="14.25" customHeight="1">
      <c r="T121" s="2"/>
    </row>
    <row r="122" ht="14.25" customHeight="1">
      <c r="T122" s="2"/>
    </row>
    <row r="123" ht="14.25" customHeight="1">
      <c r="T123" s="2"/>
    </row>
    <row r="124" ht="14.25" customHeight="1">
      <c r="T124" s="2"/>
    </row>
    <row r="125" ht="14.25" customHeight="1">
      <c r="T125" s="2"/>
    </row>
    <row r="126" ht="14.25" customHeight="1">
      <c r="T126" s="2"/>
    </row>
    <row r="127" ht="14.25" customHeight="1">
      <c r="T127" s="2"/>
    </row>
    <row r="128" ht="14.25" customHeight="1">
      <c r="T128" s="2"/>
    </row>
    <row r="129" ht="14.25" customHeight="1">
      <c r="T129" s="2"/>
    </row>
    <row r="130" ht="14.25" customHeight="1">
      <c r="T130" s="2"/>
    </row>
    <row r="131" ht="14.25" customHeight="1">
      <c r="T131" s="2"/>
    </row>
    <row r="132" ht="14.25" customHeight="1">
      <c r="T132" s="2"/>
    </row>
    <row r="133" ht="14.25" customHeight="1">
      <c r="T133" s="2"/>
    </row>
    <row r="134" ht="14.25" customHeight="1">
      <c r="T134" s="2"/>
    </row>
    <row r="135" ht="14.25" customHeight="1">
      <c r="T135" s="2"/>
    </row>
    <row r="136" ht="14.25" customHeight="1">
      <c r="T136" s="2"/>
    </row>
    <row r="137" ht="14.25" customHeight="1">
      <c r="T137" s="2"/>
    </row>
    <row r="138" ht="14.25" customHeight="1">
      <c r="T138" s="2"/>
    </row>
    <row r="139" ht="14.25" customHeight="1">
      <c r="T139" s="2"/>
    </row>
    <row r="140" ht="14.25" customHeight="1">
      <c r="T140" s="2"/>
    </row>
    <row r="141" ht="14.25" customHeight="1">
      <c r="T141" s="2"/>
    </row>
    <row r="142" ht="14.25" customHeight="1">
      <c r="T142" s="2"/>
    </row>
    <row r="143" ht="14.25" customHeight="1">
      <c r="T143" s="2"/>
    </row>
    <row r="144" ht="14.25" customHeight="1">
      <c r="T144" s="2"/>
    </row>
    <row r="145" ht="14.25" customHeight="1">
      <c r="T145" s="2"/>
    </row>
    <row r="146" ht="14.25" customHeight="1">
      <c r="T146" s="2"/>
    </row>
    <row r="147" ht="14.25" customHeight="1">
      <c r="T147" s="2"/>
    </row>
    <row r="148" ht="14.25" customHeight="1">
      <c r="T148" s="2"/>
    </row>
    <row r="149" ht="14.25" customHeight="1">
      <c r="T149" s="2"/>
    </row>
    <row r="150" ht="14.25" customHeight="1">
      <c r="T150" s="2"/>
    </row>
    <row r="151" ht="14.25" customHeight="1">
      <c r="T151" s="2"/>
    </row>
    <row r="152" ht="14.25" customHeight="1">
      <c r="T152" s="2"/>
    </row>
    <row r="153" ht="14.25" customHeight="1">
      <c r="T153" s="2"/>
    </row>
    <row r="154" ht="14.25" customHeight="1">
      <c r="T154" s="2"/>
    </row>
    <row r="155" ht="14.25" customHeight="1">
      <c r="T155" s="2"/>
    </row>
    <row r="156" ht="14.25" customHeight="1">
      <c r="T156" s="2"/>
    </row>
    <row r="157" ht="14.25" customHeight="1">
      <c r="T157" s="2"/>
    </row>
    <row r="158" ht="14.25" customHeight="1">
      <c r="T158" s="2"/>
    </row>
    <row r="159" ht="14.25" customHeight="1">
      <c r="T159" s="2"/>
    </row>
    <row r="160" ht="14.25" customHeight="1">
      <c r="T160" s="2"/>
    </row>
    <row r="161" ht="14.25" customHeight="1">
      <c r="T161" s="2"/>
    </row>
    <row r="162" ht="14.25" customHeight="1">
      <c r="T162" s="2"/>
    </row>
    <row r="163" ht="14.25" customHeight="1">
      <c r="T163" s="2"/>
    </row>
    <row r="164" ht="14.25" customHeight="1">
      <c r="T164" s="2"/>
    </row>
    <row r="165" ht="14.25" customHeight="1">
      <c r="T165" s="2"/>
    </row>
    <row r="166" ht="14.25" customHeight="1">
      <c r="T166" s="2"/>
    </row>
    <row r="167" ht="14.25" customHeight="1">
      <c r="T167" s="2"/>
    </row>
    <row r="168" ht="14.25" customHeight="1">
      <c r="T168" s="2"/>
    </row>
    <row r="169" ht="14.25" customHeight="1">
      <c r="T169" s="2"/>
    </row>
    <row r="170" ht="14.25" customHeight="1">
      <c r="T170" s="2"/>
    </row>
    <row r="171" ht="14.25" customHeight="1">
      <c r="T171" s="2"/>
    </row>
    <row r="172" ht="14.25" customHeight="1">
      <c r="T172" s="2"/>
    </row>
    <row r="173" ht="14.25" customHeight="1">
      <c r="T173" s="2"/>
    </row>
    <row r="174" ht="14.25" customHeight="1">
      <c r="T174" s="2"/>
    </row>
    <row r="175" ht="14.25" customHeight="1">
      <c r="T175" s="2"/>
    </row>
    <row r="176" ht="14.25" customHeight="1">
      <c r="T176" s="2"/>
    </row>
    <row r="177" ht="14.25" customHeight="1">
      <c r="T177" s="2"/>
    </row>
    <row r="178" ht="14.25" customHeight="1">
      <c r="T178" s="2"/>
    </row>
    <row r="179" ht="14.25" customHeight="1">
      <c r="T179" s="2"/>
    </row>
    <row r="180" ht="14.25" customHeight="1">
      <c r="T180" s="2"/>
    </row>
    <row r="181" ht="14.25" customHeight="1">
      <c r="T181" s="2"/>
    </row>
    <row r="182" ht="14.25" customHeight="1">
      <c r="T182" s="2"/>
    </row>
    <row r="183" ht="14.25" customHeight="1">
      <c r="T183" s="2"/>
    </row>
    <row r="184" ht="14.25" customHeight="1">
      <c r="T184" s="2"/>
    </row>
    <row r="185" ht="14.25" customHeight="1">
      <c r="T185" s="2"/>
    </row>
    <row r="186" ht="14.25" customHeight="1">
      <c r="T186" s="2"/>
    </row>
    <row r="187" ht="14.25" customHeight="1">
      <c r="T187" s="2"/>
    </row>
    <row r="188" ht="14.25" customHeight="1">
      <c r="T188" s="2"/>
    </row>
    <row r="189" ht="14.25" customHeight="1">
      <c r="T189" s="2"/>
    </row>
    <row r="190" ht="14.25" customHeight="1">
      <c r="T190" s="2"/>
    </row>
    <row r="191" ht="14.25" customHeight="1">
      <c r="T191" s="2"/>
    </row>
    <row r="192" ht="14.25" customHeight="1">
      <c r="T192" s="2"/>
    </row>
    <row r="193" ht="14.25" customHeight="1">
      <c r="T193" s="2"/>
    </row>
    <row r="194" ht="14.25" customHeight="1">
      <c r="T194" s="2"/>
    </row>
    <row r="195" ht="14.25" customHeight="1">
      <c r="T195" s="2"/>
    </row>
    <row r="196" ht="14.25" customHeight="1">
      <c r="T196" s="2"/>
    </row>
    <row r="197" ht="14.25" customHeight="1">
      <c r="T197" s="2"/>
    </row>
    <row r="198" ht="14.25" customHeight="1">
      <c r="T198" s="2"/>
    </row>
    <row r="199" ht="14.25" customHeight="1">
      <c r="T199" s="2"/>
    </row>
    <row r="200" ht="14.25" customHeight="1">
      <c r="T200" s="2"/>
    </row>
    <row r="201" ht="14.25" customHeight="1">
      <c r="T201" s="2"/>
    </row>
    <row r="202" ht="14.25" customHeight="1">
      <c r="T202" s="2"/>
    </row>
    <row r="203" ht="14.25" customHeight="1">
      <c r="T203" s="2"/>
    </row>
    <row r="204" ht="14.25" customHeight="1">
      <c r="T204" s="2"/>
    </row>
    <row r="205" ht="14.25" customHeight="1">
      <c r="T205" s="2"/>
    </row>
    <row r="206" ht="14.25" customHeight="1">
      <c r="T206" s="2"/>
    </row>
    <row r="207" ht="14.25" customHeight="1">
      <c r="T207" s="2"/>
    </row>
    <row r="208" ht="14.25" customHeight="1">
      <c r="T208" s="2"/>
    </row>
    <row r="209" ht="14.25" customHeight="1">
      <c r="T209" s="2"/>
    </row>
    <row r="210" ht="14.25" customHeight="1">
      <c r="T210" s="2"/>
    </row>
    <row r="211" ht="14.25" customHeight="1">
      <c r="T211" s="2"/>
    </row>
    <row r="212" ht="14.25" customHeight="1">
      <c r="T212" s="2"/>
    </row>
    <row r="213" ht="14.25" customHeight="1">
      <c r="T213" s="2"/>
    </row>
    <row r="214" ht="14.25" customHeight="1">
      <c r="T214" s="2"/>
    </row>
    <row r="215" ht="14.25" customHeight="1">
      <c r="T215" s="2"/>
    </row>
    <row r="216" ht="14.25" customHeight="1">
      <c r="T216" s="2"/>
    </row>
    <row r="217" ht="14.25" customHeight="1">
      <c r="T217" s="2"/>
    </row>
    <row r="218" ht="14.25" customHeight="1">
      <c r="T218" s="2"/>
    </row>
    <row r="219" ht="14.25" customHeight="1">
      <c r="T219" s="2"/>
    </row>
    <row r="220" ht="14.25" customHeight="1">
      <c r="T220" s="2"/>
    </row>
    <row r="221" ht="14.25" customHeight="1">
      <c r="T221" s="2"/>
    </row>
    <row r="222" ht="14.25" customHeight="1">
      <c r="T222" s="2"/>
    </row>
    <row r="223" ht="14.25" customHeight="1">
      <c r="T223" s="2"/>
    </row>
    <row r="224" ht="14.25" customHeight="1">
      <c r="T224" s="2"/>
    </row>
    <row r="225" ht="14.25" customHeight="1">
      <c r="T225" s="2"/>
    </row>
    <row r="226" ht="14.25" customHeight="1">
      <c r="T226" s="2"/>
    </row>
    <row r="227" ht="14.25" customHeight="1">
      <c r="T227" s="2"/>
    </row>
    <row r="228" ht="14.25" customHeight="1">
      <c r="T228" s="2"/>
    </row>
    <row r="229" ht="14.25" customHeight="1">
      <c r="T229" s="2"/>
    </row>
    <row r="230" ht="14.25" customHeight="1">
      <c r="T230" s="2"/>
    </row>
    <row r="231" ht="14.25" customHeight="1">
      <c r="T231" s="2"/>
    </row>
    <row r="232" ht="14.25" customHeight="1">
      <c r="T232" s="2"/>
    </row>
    <row r="233" ht="14.25" customHeight="1">
      <c r="T233" s="2"/>
    </row>
    <row r="234" ht="14.25" customHeight="1">
      <c r="T234" s="2"/>
    </row>
    <row r="235" ht="14.25" customHeight="1">
      <c r="T235" s="2"/>
    </row>
    <row r="236" ht="14.25" customHeight="1">
      <c r="T236" s="2"/>
    </row>
    <row r="237" ht="14.25" customHeight="1">
      <c r="T237" s="2"/>
    </row>
    <row r="238" ht="14.25" customHeight="1">
      <c r="T238" s="2"/>
    </row>
    <row r="239" ht="14.25" customHeight="1">
      <c r="T239" s="2"/>
    </row>
    <row r="240" ht="14.25" customHeight="1">
      <c r="T240" s="2"/>
    </row>
    <row r="241" ht="14.25" customHeight="1">
      <c r="T241" s="2"/>
    </row>
    <row r="242" ht="14.25" customHeight="1">
      <c r="T242" s="2"/>
    </row>
    <row r="243" ht="14.25" customHeight="1">
      <c r="T243" s="2"/>
    </row>
    <row r="244" ht="14.25" customHeight="1">
      <c r="T244" s="2"/>
    </row>
    <row r="245" ht="14.25" customHeight="1">
      <c r="T245" s="2"/>
    </row>
    <row r="246" ht="14.25" customHeight="1">
      <c r="T246" s="2"/>
    </row>
    <row r="247" ht="14.25" customHeight="1">
      <c r="T247" s="2"/>
    </row>
    <row r="248" ht="14.25" customHeight="1">
      <c r="T248" s="2"/>
    </row>
    <row r="249" ht="14.25" customHeight="1">
      <c r="T249" s="2"/>
    </row>
    <row r="250" ht="14.25" customHeight="1">
      <c r="T250" s="2"/>
    </row>
    <row r="251" ht="14.25" customHeight="1">
      <c r="T251" s="2"/>
    </row>
    <row r="252" ht="14.25" customHeight="1">
      <c r="T252" s="2"/>
    </row>
    <row r="253" ht="14.25" customHeight="1">
      <c r="T253" s="2"/>
    </row>
    <row r="254" ht="14.25" customHeight="1">
      <c r="T254" s="2"/>
    </row>
    <row r="255" ht="14.25" customHeight="1">
      <c r="T255" s="2"/>
    </row>
    <row r="256" ht="14.25" customHeight="1">
      <c r="T256" s="2"/>
    </row>
    <row r="257" ht="14.25" customHeight="1">
      <c r="T257" s="2"/>
    </row>
    <row r="258" ht="14.25" customHeight="1">
      <c r="T258" s="2"/>
    </row>
    <row r="259" ht="14.25" customHeight="1">
      <c r="T259" s="2"/>
    </row>
    <row r="260" ht="14.25" customHeight="1">
      <c r="T260" s="2"/>
    </row>
    <row r="261" ht="14.25" customHeight="1">
      <c r="T261" s="2"/>
    </row>
    <row r="262" ht="14.25" customHeight="1">
      <c r="T262" s="2"/>
    </row>
    <row r="263" ht="14.25" customHeight="1">
      <c r="T263" s="2"/>
    </row>
    <row r="264" ht="14.25" customHeight="1">
      <c r="T264" s="2"/>
    </row>
    <row r="265" ht="14.25" customHeight="1">
      <c r="T265" s="2"/>
    </row>
    <row r="266" ht="14.25" customHeight="1">
      <c r="T266" s="2"/>
    </row>
    <row r="267" ht="14.25" customHeight="1">
      <c r="T267" s="2"/>
    </row>
    <row r="268" ht="14.25" customHeight="1">
      <c r="T268" s="2"/>
    </row>
    <row r="269" ht="14.25" customHeight="1">
      <c r="T269" s="2"/>
    </row>
    <row r="270" ht="14.25" customHeight="1">
      <c r="T270" s="2"/>
    </row>
    <row r="271" ht="14.25" customHeight="1">
      <c r="T271" s="2"/>
    </row>
    <row r="272" ht="14.25" customHeight="1">
      <c r="T272" s="2"/>
    </row>
    <row r="273" ht="14.25" customHeight="1">
      <c r="T273" s="2"/>
    </row>
    <row r="274" ht="14.25" customHeight="1">
      <c r="T274" s="2"/>
    </row>
    <row r="275" ht="14.25" customHeight="1">
      <c r="T275" s="2"/>
    </row>
    <row r="276" ht="14.25" customHeight="1">
      <c r="T276" s="2"/>
    </row>
    <row r="277" ht="14.25" customHeight="1">
      <c r="T277" s="2"/>
    </row>
    <row r="278" ht="14.25" customHeight="1">
      <c r="T278" s="2"/>
    </row>
    <row r="279" ht="14.25" customHeight="1">
      <c r="T279" s="2"/>
    </row>
    <row r="280" ht="14.25" customHeight="1">
      <c r="T280" s="2"/>
    </row>
    <row r="281" ht="14.25" customHeight="1">
      <c r="T281" s="2"/>
    </row>
    <row r="282" ht="14.25" customHeight="1">
      <c r="T282" s="2"/>
    </row>
    <row r="283" ht="14.25" customHeight="1">
      <c r="T283" s="2"/>
    </row>
    <row r="284" ht="14.25" customHeight="1">
      <c r="T284" s="2"/>
    </row>
    <row r="285" ht="14.25" customHeight="1">
      <c r="T285" s="2"/>
    </row>
    <row r="286" ht="14.25" customHeight="1">
      <c r="T286" s="2"/>
    </row>
    <row r="287" ht="14.25" customHeight="1">
      <c r="T287" s="2"/>
    </row>
    <row r="288" ht="14.25" customHeight="1">
      <c r="T288" s="2"/>
    </row>
    <row r="289" ht="14.25" customHeight="1">
      <c r="T289" s="2"/>
    </row>
    <row r="290" ht="14.25" customHeight="1">
      <c r="T290" s="2"/>
    </row>
    <row r="291" ht="14.25" customHeight="1">
      <c r="T291" s="2"/>
    </row>
    <row r="292" ht="14.25" customHeight="1">
      <c r="T292" s="2"/>
    </row>
    <row r="293" ht="14.25" customHeight="1">
      <c r="T293" s="2"/>
    </row>
    <row r="294" ht="14.25" customHeight="1">
      <c r="T294" s="2"/>
    </row>
    <row r="295" ht="14.25" customHeight="1">
      <c r="T295" s="2"/>
    </row>
    <row r="296" ht="14.25" customHeight="1">
      <c r="T296" s="2"/>
    </row>
    <row r="297" ht="14.25" customHeight="1">
      <c r="T297" s="2"/>
    </row>
    <row r="298" ht="14.25" customHeight="1">
      <c r="T298" s="2"/>
    </row>
    <row r="299" ht="14.25" customHeight="1">
      <c r="T299" s="2"/>
    </row>
    <row r="300" ht="14.25" customHeight="1">
      <c r="T300" s="2"/>
    </row>
    <row r="301" ht="14.25" customHeight="1">
      <c r="T301" s="2"/>
    </row>
    <row r="302" ht="14.25" customHeight="1">
      <c r="T302" s="2"/>
    </row>
    <row r="303" ht="14.25" customHeight="1">
      <c r="T303" s="2"/>
    </row>
    <row r="304" ht="14.25" customHeight="1">
      <c r="T304" s="2"/>
    </row>
    <row r="305" ht="14.25" customHeight="1">
      <c r="T305" s="2"/>
    </row>
    <row r="306" ht="14.25" customHeight="1">
      <c r="T306" s="2"/>
    </row>
    <row r="307" ht="14.25" customHeight="1">
      <c r="T307" s="2"/>
    </row>
    <row r="308" ht="14.25" customHeight="1">
      <c r="T308" s="2"/>
    </row>
    <row r="309" ht="14.25" customHeight="1">
      <c r="T309" s="2"/>
    </row>
    <row r="310" ht="14.25" customHeight="1">
      <c r="T310" s="2"/>
    </row>
    <row r="311" ht="14.25" customHeight="1">
      <c r="T311" s="2"/>
    </row>
    <row r="312" ht="14.25" customHeight="1">
      <c r="T312" s="2"/>
    </row>
    <row r="313" ht="14.25" customHeight="1">
      <c r="T313" s="2"/>
    </row>
    <row r="314" ht="14.25" customHeight="1">
      <c r="T314" s="2"/>
    </row>
    <row r="315" ht="14.25" customHeight="1">
      <c r="T315" s="2"/>
    </row>
    <row r="316" ht="14.25" customHeight="1">
      <c r="T316" s="2"/>
    </row>
    <row r="317" ht="14.25" customHeight="1">
      <c r="T317" s="2"/>
    </row>
    <row r="318" ht="14.25" customHeight="1">
      <c r="T318" s="2"/>
    </row>
    <row r="319" ht="14.25" customHeight="1">
      <c r="T319" s="2"/>
    </row>
    <row r="320" ht="14.25" customHeight="1">
      <c r="T320" s="2"/>
    </row>
    <row r="321" ht="14.25" customHeight="1">
      <c r="T321" s="2"/>
    </row>
    <row r="322" ht="14.25" customHeight="1">
      <c r="T322" s="2"/>
    </row>
    <row r="323" ht="14.25" customHeight="1">
      <c r="T323" s="2"/>
    </row>
    <row r="324" ht="14.25" customHeight="1">
      <c r="T324" s="2"/>
    </row>
    <row r="325" ht="14.25" customHeight="1">
      <c r="T325" s="2"/>
    </row>
    <row r="326" ht="14.25" customHeight="1">
      <c r="T326" s="2"/>
    </row>
    <row r="327" ht="14.25" customHeight="1">
      <c r="T327" s="2"/>
    </row>
    <row r="328" ht="14.25" customHeight="1">
      <c r="T328" s="2"/>
    </row>
    <row r="329" ht="14.25" customHeight="1">
      <c r="T329" s="2"/>
    </row>
    <row r="330" ht="14.25" customHeight="1">
      <c r="T330" s="2"/>
    </row>
    <row r="331" ht="14.25" customHeight="1">
      <c r="T331" s="2"/>
    </row>
    <row r="332" ht="14.25" customHeight="1">
      <c r="T332" s="2"/>
    </row>
    <row r="333" ht="14.25" customHeight="1">
      <c r="T333" s="2"/>
    </row>
    <row r="334" ht="14.25" customHeight="1">
      <c r="T334" s="2"/>
    </row>
    <row r="335" ht="14.25" customHeight="1">
      <c r="T335" s="2"/>
    </row>
    <row r="336" ht="14.25" customHeight="1">
      <c r="T336" s="2"/>
    </row>
    <row r="337" ht="14.25" customHeight="1">
      <c r="T337" s="2"/>
    </row>
    <row r="338" ht="14.25" customHeight="1">
      <c r="T338" s="2"/>
    </row>
    <row r="339" ht="14.25" customHeight="1">
      <c r="T339" s="2"/>
    </row>
    <row r="340" ht="14.25" customHeight="1">
      <c r="T340" s="2"/>
    </row>
    <row r="341" ht="14.25" customHeight="1">
      <c r="T341" s="2"/>
    </row>
    <row r="342" ht="14.25" customHeight="1">
      <c r="T342" s="2"/>
    </row>
    <row r="343" ht="14.25" customHeight="1">
      <c r="T343" s="2"/>
    </row>
    <row r="344" ht="14.25" customHeight="1">
      <c r="T344" s="2"/>
    </row>
    <row r="345" ht="14.25" customHeight="1">
      <c r="T345" s="2"/>
    </row>
    <row r="346" ht="14.25" customHeight="1">
      <c r="T346" s="2"/>
    </row>
    <row r="347" ht="14.25" customHeight="1">
      <c r="T347" s="2"/>
    </row>
    <row r="348" ht="14.25" customHeight="1">
      <c r="T348" s="2"/>
    </row>
    <row r="349" ht="14.25" customHeight="1">
      <c r="T349" s="2"/>
    </row>
    <row r="350" ht="14.25" customHeight="1">
      <c r="T350" s="2"/>
    </row>
    <row r="351" ht="14.25" customHeight="1">
      <c r="T351" s="2"/>
    </row>
    <row r="352" ht="14.25" customHeight="1">
      <c r="T352" s="2"/>
    </row>
    <row r="353" ht="14.25" customHeight="1">
      <c r="T353" s="2"/>
    </row>
    <row r="354" ht="14.25" customHeight="1">
      <c r="T354" s="2"/>
    </row>
    <row r="355" ht="14.25" customHeight="1">
      <c r="T355" s="2"/>
    </row>
    <row r="356" ht="14.25" customHeight="1">
      <c r="T356" s="2"/>
    </row>
    <row r="357" ht="14.25" customHeight="1">
      <c r="T357" s="2"/>
    </row>
    <row r="358" ht="14.25" customHeight="1">
      <c r="T358" s="2"/>
    </row>
    <row r="359" ht="14.25" customHeight="1">
      <c r="T359" s="2"/>
    </row>
    <row r="360" ht="14.25" customHeight="1">
      <c r="T360" s="2"/>
    </row>
    <row r="361" ht="14.25" customHeight="1">
      <c r="T361" s="2"/>
    </row>
    <row r="362" ht="14.25" customHeight="1">
      <c r="T362" s="2"/>
    </row>
    <row r="363" ht="14.25" customHeight="1">
      <c r="T363" s="2"/>
    </row>
    <row r="364" ht="14.25" customHeight="1">
      <c r="T364" s="2"/>
    </row>
    <row r="365" ht="14.25" customHeight="1">
      <c r="T365" s="2"/>
    </row>
    <row r="366" ht="14.25" customHeight="1">
      <c r="T366" s="2"/>
    </row>
    <row r="367" ht="14.25" customHeight="1">
      <c r="T367" s="2"/>
    </row>
    <row r="368" ht="14.25" customHeight="1">
      <c r="T368" s="2"/>
    </row>
    <row r="369" ht="14.25" customHeight="1">
      <c r="T369" s="2"/>
    </row>
    <row r="370" ht="14.25" customHeight="1">
      <c r="T370" s="2"/>
    </row>
    <row r="371" ht="14.25" customHeight="1">
      <c r="T371" s="2"/>
    </row>
    <row r="372" ht="14.25" customHeight="1">
      <c r="T372" s="2"/>
    </row>
    <row r="373" ht="14.25" customHeight="1">
      <c r="T373" s="2"/>
    </row>
    <row r="374" ht="14.25" customHeight="1">
      <c r="T374" s="2"/>
    </row>
    <row r="375" ht="14.25" customHeight="1">
      <c r="T375" s="2"/>
    </row>
    <row r="376" ht="14.25" customHeight="1">
      <c r="T376" s="2"/>
    </row>
    <row r="377" ht="14.25" customHeight="1">
      <c r="T377" s="2"/>
    </row>
    <row r="378" ht="14.25" customHeight="1">
      <c r="T378" s="2"/>
    </row>
    <row r="379" ht="14.25" customHeight="1">
      <c r="T379" s="2"/>
    </row>
    <row r="380" ht="14.25" customHeight="1">
      <c r="T380" s="2"/>
    </row>
    <row r="381" ht="14.25" customHeight="1">
      <c r="T381" s="2"/>
    </row>
    <row r="382" ht="14.25" customHeight="1">
      <c r="T382" s="2"/>
    </row>
    <row r="383" ht="14.25" customHeight="1">
      <c r="T383" s="2"/>
    </row>
    <row r="384" ht="14.25" customHeight="1">
      <c r="T384" s="2"/>
    </row>
    <row r="385" ht="14.25" customHeight="1">
      <c r="T385" s="2"/>
    </row>
    <row r="386" ht="14.25" customHeight="1">
      <c r="T386" s="2"/>
    </row>
    <row r="387" ht="14.25" customHeight="1">
      <c r="T387" s="2"/>
    </row>
    <row r="388" ht="14.25" customHeight="1">
      <c r="T388" s="2"/>
    </row>
    <row r="389" ht="14.25" customHeight="1">
      <c r="T389" s="2"/>
    </row>
    <row r="390" ht="14.25" customHeight="1">
      <c r="T390" s="2"/>
    </row>
    <row r="391" ht="14.25" customHeight="1">
      <c r="T391" s="2"/>
    </row>
    <row r="392" ht="14.25" customHeight="1">
      <c r="T392" s="2"/>
    </row>
    <row r="393" ht="14.25" customHeight="1">
      <c r="T393" s="2"/>
    </row>
    <row r="394" ht="14.25" customHeight="1">
      <c r="T394" s="2"/>
    </row>
    <row r="395" ht="14.25" customHeight="1">
      <c r="T395" s="2"/>
    </row>
    <row r="396" ht="14.25" customHeight="1">
      <c r="T396" s="2"/>
    </row>
    <row r="397" ht="14.25" customHeight="1">
      <c r="T397" s="2"/>
    </row>
    <row r="398" ht="14.25" customHeight="1">
      <c r="T398" s="2"/>
    </row>
    <row r="399" ht="14.25" customHeight="1">
      <c r="T399" s="2"/>
    </row>
    <row r="400" ht="14.25" customHeight="1">
      <c r="T400" s="2"/>
    </row>
    <row r="401" ht="14.25" customHeight="1">
      <c r="T401" s="2"/>
    </row>
    <row r="402" ht="14.25" customHeight="1">
      <c r="T402" s="2"/>
    </row>
    <row r="403" ht="14.25" customHeight="1">
      <c r="T403" s="2"/>
    </row>
    <row r="404" ht="14.25" customHeight="1">
      <c r="T404" s="2"/>
    </row>
    <row r="405" ht="14.25" customHeight="1">
      <c r="T405" s="2"/>
    </row>
    <row r="406" ht="14.25" customHeight="1">
      <c r="T406" s="2"/>
    </row>
    <row r="407" ht="14.25" customHeight="1">
      <c r="T407" s="2"/>
    </row>
    <row r="408" ht="14.25" customHeight="1">
      <c r="T408" s="2"/>
    </row>
    <row r="409" ht="14.25" customHeight="1">
      <c r="T409" s="2"/>
    </row>
    <row r="410" ht="14.25" customHeight="1">
      <c r="T410" s="2"/>
    </row>
    <row r="411" ht="14.25" customHeight="1">
      <c r="T411" s="2"/>
    </row>
    <row r="412" ht="14.25" customHeight="1">
      <c r="T412" s="2"/>
    </row>
    <row r="413" ht="14.25" customHeight="1">
      <c r="T413" s="2"/>
    </row>
    <row r="414" ht="14.25" customHeight="1">
      <c r="T414" s="2"/>
    </row>
    <row r="415" ht="14.25" customHeight="1">
      <c r="T415" s="2"/>
    </row>
    <row r="416" ht="14.25" customHeight="1">
      <c r="T416" s="2"/>
    </row>
    <row r="417" ht="14.25" customHeight="1">
      <c r="T417" s="2"/>
    </row>
    <row r="418" ht="14.25" customHeight="1">
      <c r="T418" s="2"/>
    </row>
    <row r="419" ht="14.25" customHeight="1">
      <c r="T419" s="2"/>
    </row>
    <row r="420" ht="14.25" customHeight="1">
      <c r="T420" s="2"/>
    </row>
    <row r="421" ht="14.25" customHeight="1">
      <c r="T421" s="2"/>
    </row>
    <row r="422" ht="14.25" customHeight="1">
      <c r="T422" s="2"/>
    </row>
    <row r="423" ht="14.25" customHeight="1">
      <c r="T423" s="2"/>
    </row>
    <row r="424" ht="14.25" customHeight="1">
      <c r="T424" s="2"/>
    </row>
    <row r="425" ht="14.25" customHeight="1">
      <c r="T425" s="2"/>
    </row>
    <row r="426" ht="14.25" customHeight="1">
      <c r="T426" s="2"/>
    </row>
    <row r="427" ht="14.25" customHeight="1">
      <c r="T427" s="2"/>
    </row>
    <row r="428" ht="14.25" customHeight="1">
      <c r="T428" s="2"/>
    </row>
    <row r="429" ht="14.25" customHeight="1">
      <c r="T429" s="2"/>
    </row>
    <row r="430" ht="14.25" customHeight="1">
      <c r="T430" s="2"/>
    </row>
    <row r="431" ht="14.25" customHeight="1">
      <c r="T431" s="2"/>
    </row>
    <row r="432" ht="14.25" customHeight="1">
      <c r="T432" s="2"/>
    </row>
    <row r="433" ht="14.25" customHeight="1">
      <c r="T433" s="2"/>
    </row>
    <row r="434" ht="14.25" customHeight="1">
      <c r="T434" s="2"/>
    </row>
    <row r="435" ht="14.25" customHeight="1">
      <c r="T435" s="2"/>
    </row>
    <row r="436" ht="14.25" customHeight="1">
      <c r="T436" s="2"/>
    </row>
    <row r="437" ht="14.25" customHeight="1">
      <c r="T437" s="2"/>
    </row>
    <row r="438" ht="14.25" customHeight="1">
      <c r="T438" s="2"/>
    </row>
    <row r="439" ht="14.25" customHeight="1">
      <c r="T439" s="2"/>
    </row>
    <row r="440" ht="14.25" customHeight="1">
      <c r="T440" s="2"/>
    </row>
    <row r="441" ht="14.25" customHeight="1">
      <c r="T441" s="2"/>
    </row>
    <row r="442" ht="14.25" customHeight="1">
      <c r="T442" s="2"/>
    </row>
    <row r="443" ht="14.25" customHeight="1">
      <c r="T443" s="2"/>
    </row>
    <row r="444" ht="14.25" customHeight="1">
      <c r="T444" s="2"/>
    </row>
    <row r="445" ht="14.25" customHeight="1">
      <c r="T445" s="2"/>
    </row>
    <row r="446" ht="14.25" customHeight="1">
      <c r="T446" s="2"/>
    </row>
    <row r="447" ht="14.25" customHeight="1">
      <c r="T447" s="2"/>
    </row>
    <row r="448" ht="14.25" customHeight="1">
      <c r="T448" s="2"/>
    </row>
    <row r="449" ht="14.25" customHeight="1">
      <c r="T449" s="2"/>
    </row>
    <row r="450" ht="14.25" customHeight="1">
      <c r="T450" s="2"/>
    </row>
    <row r="451" ht="14.25" customHeight="1">
      <c r="T451" s="2"/>
    </row>
    <row r="452" ht="14.25" customHeight="1">
      <c r="T452" s="2"/>
    </row>
    <row r="453" ht="14.25" customHeight="1">
      <c r="T453" s="2"/>
    </row>
    <row r="454" ht="14.25" customHeight="1">
      <c r="T454" s="2"/>
    </row>
    <row r="455" ht="14.25" customHeight="1">
      <c r="T455" s="2"/>
    </row>
    <row r="456" ht="14.25" customHeight="1">
      <c r="T456" s="2"/>
    </row>
    <row r="457" ht="14.25" customHeight="1">
      <c r="T457" s="2"/>
    </row>
    <row r="458" ht="14.25" customHeight="1">
      <c r="T458" s="2"/>
    </row>
    <row r="459" ht="14.25" customHeight="1">
      <c r="T459" s="2"/>
    </row>
    <row r="460" ht="14.25" customHeight="1">
      <c r="T460" s="2"/>
    </row>
    <row r="461" ht="14.25" customHeight="1">
      <c r="T461" s="2"/>
    </row>
    <row r="462" ht="14.25" customHeight="1">
      <c r="T462" s="2"/>
    </row>
    <row r="463" ht="14.25" customHeight="1">
      <c r="T463" s="2"/>
    </row>
    <row r="464" ht="14.25" customHeight="1">
      <c r="T464" s="2"/>
    </row>
    <row r="465" ht="14.25" customHeight="1">
      <c r="T465" s="2"/>
    </row>
    <row r="466" ht="14.25" customHeight="1">
      <c r="T466" s="2"/>
    </row>
    <row r="467" ht="14.25" customHeight="1">
      <c r="T467" s="2"/>
    </row>
    <row r="468" ht="14.25" customHeight="1">
      <c r="T468" s="2"/>
    </row>
    <row r="469" ht="14.25" customHeight="1">
      <c r="T469" s="2"/>
    </row>
    <row r="470" ht="14.25" customHeight="1">
      <c r="T470" s="2"/>
    </row>
    <row r="471" ht="14.25" customHeight="1">
      <c r="T471" s="2"/>
    </row>
    <row r="472" ht="14.25" customHeight="1">
      <c r="T472" s="2"/>
    </row>
    <row r="473" ht="14.25" customHeight="1">
      <c r="T473" s="2"/>
    </row>
    <row r="474" ht="14.25" customHeight="1">
      <c r="T474" s="2"/>
    </row>
    <row r="475" ht="14.25" customHeight="1">
      <c r="T475" s="2"/>
    </row>
    <row r="476" ht="14.25" customHeight="1">
      <c r="T476" s="2"/>
    </row>
    <row r="477" ht="14.25" customHeight="1">
      <c r="T477" s="2"/>
    </row>
    <row r="478" ht="14.25" customHeight="1">
      <c r="T478" s="2"/>
    </row>
    <row r="479" ht="14.25" customHeight="1">
      <c r="T479" s="2"/>
    </row>
    <row r="480" ht="14.25" customHeight="1">
      <c r="T480" s="2"/>
    </row>
    <row r="481" ht="14.25" customHeight="1">
      <c r="T481" s="2"/>
    </row>
    <row r="482" ht="14.25" customHeight="1">
      <c r="T482" s="2"/>
    </row>
    <row r="483" ht="14.25" customHeight="1">
      <c r="T483" s="2"/>
    </row>
    <row r="484" ht="14.25" customHeight="1">
      <c r="T484" s="2"/>
    </row>
    <row r="485" ht="14.25" customHeight="1">
      <c r="T485" s="2"/>
    </row>
    <row r="486" ht="14.25" customHeight="1">
      <c r="T486" s="2"/>
    </row>
    <row r="487" ht="14.25" customHeight="1">
      <c r="T487" s="2"/>
    </row>
    <row r="488" ht="14.25" customHeight="1">
      <c r="T488" s="2"/>
    </row>
    <row r="489" ht="14.25" customHeight="1">
      <c r="T489" s="2"/>
    </row>
    <row r="490" ht="14.25" customHeight="1">
      <c r="T490" s="2"/>
    </row>
    <row r="491" ht="14.25" customHeight="1">
      <c r="T491" s="2"/>
    </row>
    <row r="492" ht="14.25" customHeight="1">
      <c r="T492" s="2"/>
    </row>
    <row r="493" ht="14.25" customHeight="1">
      <c r="T493" s="2"/>
    </row>
    <row r="494" ht="14.25" customHeight="1">
      <c r="T494" s="2"/>
    </row>
    <row r="495" ht="14.25" customHeight="1">
      <c r="T495" s="2"/>
    </row>
    <row r="496" ht="14.25" customHeight="1">
      <c r="T496" s="2"/>
    </row>
    <row r="497" ht="14.25" customHeight="1">
      <c r="T497" s="2"/>
    </row>
    <row r="498" ht="14.25" customHeight="1">
      <c r="T498" s="2"/>
    </row>
    <row r="499" ht="14.25" customHeight="1">
      <c r="T499" s="2"/>
    </row>
    <row r="500" ht="14.25" customHeight="1">
      <c r="T500" s="2"/>
    </row>
    <row r="501" ht="14.25" customHeight="1">
      <c r="T501" s="2"/>
    </row>
    <row r="502" ht="14.25" customHeight="1">
      <c r="T502" s="2"/>
    </row>
    <row r="503" ht="14.25" customHeight="1">
      <c r="T503" s="2"/>
    </row>
    <row r="504" ht="14.25" customHeight="1">
      <c r="T504" s="2"/>
    </row>
    <row r="505" ht="14.25" customHeight="1">
      <c r="T505" s="2"/>
    </row>
    <row r="506" ht="14.25" customHeight="1">
      <c r="T506" s="2"/>
    </row>
    <row r="507" ht="14.25" customHeight="1">
      <c r="T507" s="2"/>
    </row>
    <row r="508" ht="14.25" customHeight="1">
      <c r="T508" s="2"/>
    </row>
    <row r="509" ht="14.25" customHeight="1">
      <c r="T509" s="2"/>
    </row>
    <row r="510" ht="14.25" customHeight="1">
      <c r="T510" s="2"/>
    </row>
    <row r="511" ht="14.25" customHeight="1">
      <c r="T511" s="2"/>
    </row>
    <row r="512" ht="14.25" customHeight="1">
      <c r="T512" s="2"/>
    </row>
    <row r="513" ht="14.25" customHeight="1">
      <c r="T513" s="2"/>
    </row>
    <row r="514" ht="14.25" customHeight="1">
      <c r="T514" s="2"/>
    </row>
    <row r="515" ht="14.25" customHeight="1">
      <c r="T515" s="2"/>
    </row>
    <row r="516" ht="14.25" customHeight="1">
      <c r="T516" s="2"/>
    </row>
    <row r="517" ht="14.25" customHeight="1">
      <c r="T517" s="2"/>
    </row>
    <row r="518" ht="14.25" customHeight="1">
      <c r="T518" s="2"/>
    </row>
    <row r="519" ht="14.25" customHeight="1">
      <c r="T519" s="2"/>
    </row>
    <row r="520" ht="14.25" customHeight="1">
      <c r="T520" s="2"/>
    </row>
    <row r="521" ht="14.25" customHeight="1">
      <c r="T521" s="2"/>
    </row>
    <row r="522" ht="14.25" customHeight="1">
      <c r="T522" s="2"/>
    </row>
    <row r="523" ht="14.25" customHeight="1">
      <c r="T523" s="2"/>
    </row>
    <row r="524" ht="14.25" customHeight="1">
      <c r="T524" s="2"/>
    </row>
    <row r="525" ht="14.25" customHeight="1">
      <c r="T525" s="2"/>
    </row>
    <row r="526" ht="14.25" customHeight="1">
      <c r="T526" s="2"/>
    </row>
    <row r="527" ht="14.25" customHeight="1">
      <c r="T527" s="2"/>
    </row>
    <row r="528" ht="14.25" customHeight="1">
      <c r="T528" s="2"/>
    </row>
    <row r="529" ht="14.25" customHeight="1">
      <c r="T529" s="2"/>
    </row>
    <row r="530" ht="14.25" customHeight="1">
      <c r="T530" s="2"/>
    </row>
    <row r="531" ht="14.25" customHeight="1">
      <c r="T531" s="2"/>
    </row>
    <row r="532" ht="14.25" customHeight="1">
      <c r="T532" s="2"/>
    </row>
    <row r="533" ht="14.25" customHeight="1">
      <c r="T533" s="2"/>
    </row>
    <row r="534" ht="14.25" customHeight="1">
      <c r="T534" s="2"/>
    </row>
    <row r="535" ht="14.25" customHeight="1">
      <c r="T535" s="2"/>
    </row>
    <row r="536" ht="14.25" customHeight="1">
      <c r="T536" s="2"/>
    </row>
    <row r="537" ht="14.25" customHeight="1">
      <c r="T537" s="2"/>
    </row>
    <row r="538" ht="14.25" customHeight="1">
      <c r="T538" s="2"/>
    </row>
    <row r="539" ht="14.25" customHeight="1">
      <c r="T539" s="2"/>
    </row>
    <row r="540" ht="14.25" customHeight="1">
      <c r="T540" s="2"/>
    </row>
    <row r="541" ht="14.25" customHeight="1">
      <c r="T541" s="2"/>
    </row>
    <row r="542" ht="14.25" customHeight="1">
      <c r="T542" s="2"/>
    </row>
    <row r="543" ht="14.25" customHeight="1">
      <c r="T543" s="2"/>
    </row>
    <row r="544" ht="14.25" customHeight="1">
      <c r="T544" s="2"/>
    </row>
    <row r="545" ht="14.25" customHeight="1">
      <c r="T545" s="2"/>
    </row>
    <row r="546" ht="14.25" customHeight="1">
      <c r="T546" s="2"/>
    </row>
    <row r="547" ht="14.25" customHeight="1">
      <c r="T547" s="2"/>
    </row>
    <row r="548" ht="14.25" customHeight="1">
      <c r="T548" s="2"/>
    </row>
    <row r="549" ht="14.25" customHeight="1">
      <c r="T549" s="2"/>
    </row>
    <row r="550" ht="14.25" customHeight="1">
      <c r="T550" s="2"/>
    </row>
    <row r="551" ht="14.25" customHeight="1">
      <c r="T551" s="2"/>
    </row>
    <row r="552" ht="14.25" customHeight="1">
      <c r="T552" s="2"/>
    </row>
    <row r="553" ht="14.25" customHeight="1">
      <c r="T553" s="2"/>
    </row>
    <row r="554" ht="14.25" customHeight="1">
      <c r="T554" s="2"/>
    </row>
    <row r="555" ht="14.25" customHeight="1">
      <c r="T555" s="2"/>
    </row>
    <row r="556" ht="14.25" customHeight="1">
      <c r="T556" s="2"/>
    </row>
    <row r="557" ht="14.25" customHeight="1">
      <c r="T557" s="2"/>
    </row>
    <row r="558" ht="14.25" customHeight="1">
      <c r="T558" s="2"/>
    </row>
    <row r="559" ht="14.25" customHeight="1">
      <c r="T559" s="2"/>
    </row>
    <row r="560" ht="14.25" customHeight="1">
      <c r="T560" s="2"/>
    </row>
    <row r="561" ht="14.25" customHeight="1">
      <c r="T561" s="2"/>
    </row>
    <row r="562" ht="14.25" customHeight="1">
      <c r="T562" s="2"/>
    </row>
    <row r="563" ht="14.25" customHeight="1">
      <c r="T563" s="2"/>
    </row>
    <row r="564" ht="14.25" customHeight="1">
      <c r="T564" s="2"/>
    </row>
    <row r="565" ht="14.25" customHeight="1">
      <c r="T565" s="2"/>
    </row>
    <row r="566" ht="14.25" customHeight="1">
      <c r="T566" s="2"/>
    </row>
    <row r="567" ht="14.25" customHeight="1">
      <c r="T567" s="2"/>
    </row>
    <row r="568" ht="14.25" customHeight="1">
      <c r="T568" s="2"/>
    </row>
    <row r="569" ht="14.25" customHeight="1">
      <c r="T569" s="2"/>
    </row>
    <row r="570" ht="14.25" customHeight="1">
      <c r="T570" s="2"/>
    </row>
    <row r="571" ht="14.25" customHeight="1">
      <c r="T571" s="2"/>
    </row>
    <row r="572" ht="14.25" customHeight="1">
      <c r="T572" s="2"/>
    </row>
    <row r="573" ht="14.25" customHeight="1">
      <c r="T573" s="2"/>
    </row>
    <row r="574" ht="14.25" customHeight="1">
      <c r="T574" s="2"/>
    </row>
    <row r="575" ht="14.25" customHeight="1">
      <c r="T575" s="2"/>
    </row>
    <row r="576" ht="14.25" customHeight="1">
      <c r="T576" s="2"/>
    </row>
    <row r="577" ht="14.25" customHeight="1">
      <c r="T577" s="2"/>
    </row>
    <row r="578" ht="14.25" customHeight="1">
      <c r="T578" s="2"/>
    </row>
    <row r="579" ht="14.25" customHeight="1">
      <c r="T579" s="2"/>
    </row>
    <row r="580" ht="14.25" customHeight="1">
      <c r="T580" s="2"/>
    </row>
    <row r="581" ht="14.25" customHeight="1">
      <c r="T581" s="2"/>
    </row>
    <row r="582" ht="14.25" customHeight="1">
      <c r="T582" s="2"/>
    </row>
    <row r="583" ht="14.25" customHeight="1">
      <c r="T583" s="2"/>
    </row>
    <row r="584" ht="14.25" customHeight="1">
      <c r="T584" s="2"/>
    </row>
    <row r="585" ht="14.25" customHeight="1">
      <c r="T585" s="2"/>
    </row>
    <row r="586" ht="14.25" customHeight="1">
      <c r="T586" s="2"/>
    </row>
    <row r="587" ht="14.25" customHeight="1">
      <c r="T587" s="2"/>
    </row>
    <row r="588" ht="14.25" customHeight="1">
      <c r="T588" s="2"/>
    </row>
    <row r="589" ht="14.25" customHeight="1">
      <c r="T589" s="2"/>
    </row>
    <row r="590" ht="14.25" customHeight="1">
      <c r="T590" s="2"/>
    </row>
    <row r="591" ht="14.25" customHeight="1">
      <c r="T591" s="2"/>
    </row>
    <row r="592" ht="14.25" customHeight="1">
      <c r="T592" s="2"/>
    </row>
    <row r="593" ht="14.25" customHeight="1">
      <c r="T593" s="2"/>
    </row>
    <row r="594" ht="14.25" customHeight="1">
      <c r="T594" s="2"/>
    </row>
    <row r="595" ht="14.25" customHeight="1">
      <c r="T595" s="2"/>
    </row>
    <row r="596" ht="14.25" customHeight="1">
      <c r="T596" s="2"/>
    </row>
    <row r="597" ht="14.25" customHeight="1">
      <c r="T597" s="2"/>
    </row>
    <row r="598" ht="14.25" customHeight="1">
      <c r="T598" s="2"/>
    </row>
    <row r="599" ht="14.25" customHeight="1">
      <c r="T599" s="2"/>
    </row>
    <row r="600" ht="14.25" customHeight="1">
      <c r="T600" s="2"/>
    </row>
    <row r="601" ht="14.25" customHeight="1">
      <c r="T601" s="2"/>
    </row>
    <row r="602" ht="14.25" customHeight="1">
      <c r="T602" s="2"/>
    </row>
    <row r="603" ht="14.25" customHeight="1">
      <c r="T603" s="2"/>
    </row>
    <row r="604" ht="14.25" customHeight="1">
      <c r="T604" s="2"/>
    </row>
    <row r="605" ht="14.25" customHeight="1">
      <c r="T605" s="2"/>
    </row>
    <row r="606" ht="14.25" customHeight="1">
      <c r="T606" s="2"/>
    </row>
    <row r="607" ht="14.25" customHeight="1">
      <c r="T607" s="2"/>
    </row>
    <row r="608" ht="14.25" customHeight="1">
      <c r="T608" s="2"/>
    </row>
    <row r="609" ht="14.25" customHeight="1">
      <c r="T609" s="2"/>
    </row>
    <row r="610" ht="14.25" customHeight="1">
      <c r="T610" s="2"/>
    </row>
    <row r="611" ht="14.25" customHeight="1">
      <c r="T611" s="2"/>
    </row>
    <row r="612" ht="14.25" customHeight="1">
      <c r="T612" s="2"/>
    </row>
    <row r="613" ht="14.25" customHeight="1">
      <c r="T613" s="2"/>
    </row>
    <row r="614" ht="14.25" customHeight="1">
      <c r="T614" s="2"/>
    </row>
    <row r="615" ht="14.25" customHeight="1">
      <c r="T615" s="2"/>
    </row>
    <row r="616" ht="14.25" customHeight="1">
      <c r="T616" s="2"/>
    </row>
    <row r="617" ht="14.25" customHeight="1">
      <c r="T617" s="2"/>
    </row>
    <row r="618" ht="14.25" customHeight="1">
      <c r="T618" s="2"/>
    </row>
    <row r="619" ht="14.25" customHeight="1">
      <c r="T619" s="2"/>
    </row>
    <row r="620" ht="14.25" customHeight="1">
      <c r="T620" s="2"/>
    </row>
    <row r="621" ht="14.25" customHeight="1">
      <c r="T621" s="2"/>
    </row>
    <row r="622" ht="14.25" customHeight="1">
      <c r="T622" s="2"/>
    </row>
    <row r="623" ht="14.25" customHeight="1">
      <c r="T623" s="2"/>
    </row>
    <row r="624" ht="14.25" customHeight="1">
      <c r="T624" s="2"/>
    </row>
    <row r="625" ht="14.25" customHeight="1">
      <c r="T625" s="2"/>
    </row>
    <row r="626" ht="14.25" customHeight="1">
      <c r="T626" s="2"/>
    </row>
    <row r="627" ht="14.25" customHeight="1">
      <c r="T627" s="2"/>
    </row>
    <row r="628" ht="14.25" customHeight="1">
      <c r="T628" s="2"/>
    </row>
    <row r="629" ht="14.25" customHeight="1">
      <c r="T629" s="2"/>
    </row>
    <row r="630" ht="14.25" customHeight="1">
      <c r="T630" s="2"/>
    </row>
    <row r="631" ht="14.25" customHeight="1">
      <c r="T631" s="2"/>
    </row>
    <row r="632" ht="14.25" customHeight="1">
      <c r="T632" s="2"/>
    </row>
    <row r="633" ht="14.25" customHeight="1">
      <c r="T633" s="2"/>
    </row>
    <row r="634" ht="14.25" customHeight="1">
      <c r="T634" s="2"/>
    </row>
    <row r="635" ht="14.25" customHeight="1">
      <c r="T635" s="2"/>
    </row>
    <row r="636" ht="14.25" customHeight="1">
      <c r="T636" s="2"/>
    </row>
    <row r="637" ht="14.25" customHeight="1">
      <c r="T637" s="2"/>
    </row>
    <row r="638" ht="14.25" customHeight="1">
      <c r="T638" s="2"/>
    </row>
    <row r="639" ht="14.25" customHeight="1">
      <c r="T639" s="2"/>
    </row>
    <row r="640" ht="14.25" customHeight="1">
      <c r="T640" s="2"/>
    </row>
    <row r="641" ht="14.25" customHeight="1">
      <c r="T641" s="2"/>
    </row>
    <row r="642" ht="14.25" customHeight="1">
      <c r="T642" s="2"/>
    </row>
    <row r="643" ht="14.25" customHeight="1">
      <c r="T643" s="2"/>
    </row>
    <row r="644" ht="14.25" customHeight="1">
      <c r="T644" s="2"/>
    </row>
    <row r="645" ht="14.25" customHeight="1">
      <c r="T645" s="2"/>
    </row>
    <row r="646" ht="14.25" customHeight="1">
      <c r="T646" s="2"/>
    </row>
    <row r="647" ht="14.25" customHeight="1">
      <c r="T647" s="2"/>
    </row>
    <row r="648" ht="14.25" customHeight="1">
      <c r="T648" s="2"/>
    </row>
    <row r="649" ht="14.25" customHeight="1">
      <c r="T649" s="2"/>
    </row>
    <row r="650" ht="14.25" customHeight="1">
      <c r="T650" s="2"/>
    </row>
    <row r="651" ht="14.25" customHeight="1">
      <c r="T651" s="2"/>
    </row>
    <row r="652" ht="14.25" customHeight="1">
      <c r="T652" s="2"/>
    </row>
    <row r="653" ht="14.25" customHeight="1">
      <c r="T653" s="2"/>
    </row>
    <row r="654" ht="14.25" customHeight="1">
      <c r="T654" s="2"/>
    </row>
    <row r="655" ht="14.25" customHeight="1">
      <c r="T655" s="2"/>
    </row>
    <row r="656" ht="14.25" customHeight="1">
      <c r="T656" s="2"/>
    </row>
    <row r="657" ht="14.25" customHeight="1">
      <c r="T657" s="2"/>
    </row>
    <row r="658" ht="14.25" customHeight="1">
      <c r="T658" s="2"/>
    </row>
    <row r="659" ht="14.25" customHeight="1">
      <c r="T659" s="2"/>
    </row>
    <row r="660" ht="14.25" customHeight="1">
      <c r="T660" s="2"/>
    </row>
    <row r="661" ht="14.25" customHeight="1">
      <c r="T661" s="2"/>
    </row>
    <row r="662" ht="14.25" customHeight="1">
      <c r="T662" s="2"/>
    </row>
    <row r="663" ht="14.25" customHeight="1">
      <c r="T663" s="2"/>
    </row>
    <row r="664" ht="14.25" customHeight="1">
      <c r="T664" s="2"/>
    </row>
    <row r="665" ht="14.25" customHeight="1">
      <c r="T665" s="2"/>
    </row>
    <row r="666" ht="14.25" customHeight="1">
      <c r="T666" s="2"/>
    </row>
    <row r="667" ht="14.25" customHeight="1">
      <c r="T667" s="2"/>
    </row>
    <row r="668" ht="14.25" customHeight="1">
      <c r="T668" s="2"/>
    </row>
    <row r="669" ht="14.25" customHeight="1">
      <c r="T669" s="2"/>
    </row>
    <row r="670" ht="14.25" customHeight="1">
      <c r="T670" s="2"/>
    </row>
    <row r="671" ht="14.25" customHeight="1">
      <c r="T671" s="2"/>
    </row>
    <row r="672" ht="14.25" customHeight="1">
      <c r="T672" s="2"/>
    </row>
    <row r="673" ht="14.25" customHeight="1">
      <c r="T673" s="2"/>
    </row>
    <row r="674" ht="14.25" customHeight="1">
      <c r="T674" s="2"/>
    </row>
    <row r="675" ht="14.25" customHeight="1">
      <c r="T675" s="2"/>
    </row>
    <row r="676" ht="14.25" customHeight="1">
      <c r="T676" s="2"/>
    </row>
    <row r="677" ht="14.25" customHeight="1">
      <c r="T677" s="2"/>
    </row>
    <row r="678" ht="14.25" customHeight="1">
      <c r="T678" s="2"/>
    </row>
    <row r="679" ht="14.25" customHeight="1">
      <c r="T679" s="2"/>
    </row>
    <row r="680" ht="14.25" customHeight="1">
      <c r="T680" s="2"/>
    </row>
    <row r="681" ht="14.25" customHeight="1">
      <c r="T681" s="2"/>
    </row>
    <row r="682" ht="14.25" customHeight="1">
      <c r="T682" s="2"/>
    </row>
    <row r="683" ht="14.25" customHeight="1">
      <c r="T683" s="2"/>
    </row>
    <row r="684" ht="14.25" customHeight="1">
      <c r="T684" s="2"/>
    </row>
    <row r="685" ht="14.25" customHeight="1">
      <c r="T685" s="2"/>
    </row>
    <row r="686" ht="14.25" customHeight="1">
      <c r="T686" s="2"/>
    </row>
    <row r="687" ht="14.25" customHeight="1">
      <c r="T687" s="2"/>
    </row>
    <row r="688" ht="14.25" customHeight="1">
      <c r="T688" s="2"/>
    </row>
    <row r="689" ht="14.25" customHeight="1">
      <c r="T689" s="2"/>
    </row>
    <row r="690" ht="14.25" customHeight="1">
      <c r="T690" s="2"/>
    </row>
    <row r="691" ht="14.25" customHeight="1">
      <c r="T691" s="2"/>
    </row>
    <row r="692" ht="14.25" customHeight="1">
      <c r="T692" s="2"/>
    </row>
    <row r="693" ht="14.25" customHeight="1">
      <c r="T693" s="2"/>
    </row>
    <row r="694" ht="14.25" customHeight="1">
      <c r="T694" s="2"/>
    </row>
    <row r="695" ht="14.25" customHeight="1">
      <c r="T695" s="2"/>
    </row>
    <row r="696" ht="14.25" customHeight="1">
      <c r="T696" s="2"/>
    </row>
    <row r="697" ht="14.25" customHeight="1">
      <c r="T697" s="2"/>
    </row>
    <row r="698" ht="14.25" customHeight="1">
      <c r="T698" s="2"/>
    </row>
    <row r="699" ht="14.25" customHeight="1">
      <c r="T699" s="2"/>
    </row>
    <row r="700" ht="14.25" customHeight="1">
      <c r="T700" s="2"/>
    </row>
    <row r="701" ht="14.25" customHeight="1">
      <c r="T701" s="2"/>
    </row>
    <row r="702" ht="14.25" customHeight="1">
      <c r="T702" s="2"/>
    </row>
    <row r="703" ht="14.25" customHeight="1">
      <c r="T703" s="2"/>
    </row>
    <row r="704" ht="14.25" customHeight="1">
      <c r="T704" s="2"/>
    </row>
    <row r="705" ht="14.25" customHeight="1">
      <c r="T705" s="2"/>
    </row>
    <row r="706" ht="14.25" customHeight="1">
      <c r="T706" s="2"/>
    </row>
    <row r="707" ht="14.25" customHeight="1">
      <c r="T707" s="2"/>
    </row>
    <row r="708" ht="14.25" customHeight="1">
      <c r="T708" s="2"/>
    </row>
    <row r="709" ht="14.25" customHeight="1">
      <c r="T709" s="2"/>
    </row>
    <row r="710" ht="14.25" customHeight="1">
      <c r="T710" s="2"/>
    </row>
    <row r="711" ht="14.25" customHeight="1">
      <c r="T711" s="2"/>
    </row>
    <row r="712" ht="14.25" customHeight="1">
      <c r="T712" s="2"/>
    </row>
    <row r="713" ht="14.25" customHeight="1">
      <c r="T713" s="2"/>
    </row>
    <row r="714" ht="14.25" customHeight="1">
      <c r="T714" s="2"/>
    </row>
    <row r="715" ht="14.25" customHeight="1">
      <c r="T715" s="2"/>
    </row>
    <row r="716" ht="14.25" customHeight="1">
      <c r="T716" s="2"/>
    </row>
    <row r="717" ht="14.25" customHeight="1">
      <c r="T717" s="2"/>
    </row>
    <row r="718" ht="14.25" customHeight="1">
      <c r="T718" s="2"/>
    </row>
    <row r="719" ht="14.25" customHeight="1">
      <c r="T719" s="2"/>
    </row>
    <row r="720" ht="14.25" customHeight="1">
      <c r="T720" s="2"/>
    </row>
    <row r="721" ht="14.25" customHeight="1">
      <c r="T721" s="2"/>
    </row>
    <row r="722" ht="14.25" customHeight="1">
      <c r="T722" s="2"/>
    </row>
    <row r="723" ht="14.25" customHeight="1">
      <c r="T723" s="2"/>
    </row>
    <row r="724" ht="14.25" customHeight="1">
      <c r="T724" s="2"/>
    </row>
    <row r="725" ht="14.25" customHeight="1">
      <c r="T725" s="2"/>
    </row>
    <row r="726" ht="14.25" customHeight="1">
      <c r="T726" s="2"/>
    </row>
    <row r="727" ht="14.25" customHeight="1">
      <c r="T727" s="2"/>
    </row>
    <row r="728" ht="14.25" customHeight="1">
      <c r="T728" s="2"/>
    </row>
    <row r="729" ht="14.25" customHeight="1">
      <c r="T729" s="2"/>
    </row>
    <row r="730" ht="14.25" customHeight="1">
      <c r="T730" s="2"/>
    </row>
    <row r="731" ht="14.25" customHeight="1">
      <c r="T731" s="2"/>
    </row>
    <row r="732" ht="14.25" customHeight="1">
      <c r="T732" s="2"/>
    </row>
    <row r="733" ht="14.25" customHeight="1">
      <c r="T733" s="2"/>
    </row>
    <row r="734" ht="14.25" customHeight="1">
      <c r="T734" s="2"/>
    </row>
    <row r="735" ht="14.25" customHeight="1">
      <c r="T735" s="2"/>
    </row>
    <row r="736" ht="14.25" customHeight="1">
      <c r="T736" s="2"/>
    </row>
    <row r="737" ht="14.25" customHeight="1">
      <c r="T737" s="2"/>
    </row>
    <row r="738" ht="14.25" customHeight="1">
      <c r="T738" s="2"/>
    </row>
    <row r="739" ht="14.25" customHeight="1">
      <c r="T739" s="2"/>
    </row>
    <row r="740" ht="14.25" customHeight="1">
      <c r="T740" s="2"/>
    </row>
    <row r="741" ht="14.25" customHeight="1">
      <c r="T741" s="2"/>
    </row>
    <row r="742" ht="14.25" customHeight="1">
      <c r="T742" s="2"/>
    </row>
    <row r="743" ht="14.25" customHeight="1">
      <c r="T743" s="2"/>
    </row>
    <row r="744" ht="14.25" customHeight="1">
      <c r="T744" s="2"/>
    </row>
    <row r="745" ht="14.25" customHeight="1">
      <c r="T745" s="2"/>
    </row>
    <row r="746" ht="14.25" customHeight="1">
      <c r="T746" s="2"/>
    </row>
    <row r="747" ht="14.25" customHeight="1">
      <c r="T747" s="2"/>
    </row>
    <row r="748" ht="14.25" customHeight="1">
      <c r="T748" s="2"/>
    </row>
    <row r="749" ht="14.25" customHeight="1">
      <c r="T749" s="2"/>
    </row>
    <row r="750" ht="14.25" customHeight="1">
      <c r="T750" s="2"/>
    </row>
    <row r="751" ht="14.25" customHeight="1">
      <c r="T751" s="2"/>
    </row>
    <row r="752" ht="14.25" customHeight="1">
      <c r="T752" s="2"/>
    </row>
    <row r="753" ht="14.25" customHeight="1">
      <c r="T753" s="2"/>
    </row>
    <row r="754" ht="14.25" customHeight="1">
      <c r="T754" s="2"/>
    </row>
    <row r="755" ht="14.25" customHeight="1">
      <c r="T755" s="2"/>
    </row>
    <row r="756" ht="14.25" customHeight="1">
      <c r="T756" s="2"/>
    </row>
    <row r="757" ht="14.25" customHeight="1">
      <c r="T757" s="2"/>
    </row>
    <row r="758" ht="14.25" customHeight="1">
      <c r="T758" s="2"/>
    </row>
    <row r="759" ht="14.25" customHeight="1">
      <c r="T759" s="2"/>
    </row>
    <row r="760" ht="14.25" customHeight="1">
      <c r="T760" s="2"/>
    </row>
    <row r="761" ht="14.25" customHeight="1">
      <c r="T761" s="2"/>
    </row>
    <row r="762" ht="14.25" customHeight="1">
      <c r="T762" s="2"/>
    </row>
    <row r="763" ht="14.25" customHeight="1">
      <c r="T763" s="2"/>
    </row>
    <row r="764" ht="14.25" customHeight="1">
      <c r="T764" s="2"/>
    </row>
    <row r="765" ht="14.25" customHeight="1">
      <c r="T765" s="2"/>
    </row>
    <row r="766" ht="14.25" customHeight="1">
      <c r="T766" s="2"/>
    </row>
    <row r="767" ht="14.25" customHeight="1">
      <c r="T767" s="2"/>
    </row>
    <row r="768" ht="14.25" customHeight="1">
      <c r="T768" s="2"/>
    </row>
    <row r="769" ht="14.25" customHeight="1">
      <c r="T769" s="2"/>
    </row>
    <row r="770" ht="14.25" customHeight="1">
      <c r="T770" s="2"/>
    </row>
    <row r="771" ht="14.25" customHeight="1">
      <c r="T771" s="2"/>
    </row>
    <row r="772" ht="14.25" customHeight="1">
      <c r="T772" s="2"/>
    </row>
    <row r="773" ht="14.25" customHeight="1">
      <c r="T773" s="2"/>
    </row>
    <row r="774" ht="14.25" customHeight="1">
      <c r="T774" s="2"/>
    </row>
    <row r="775" ht="14.25" customHeight="1">
      <c r="T775" s="2"/>
    </row>
    <row r="776" ht="14.25" customHeight="1">
      <c r="T776" s="2"/>
    </row>
    <row r="777" ht="14.25" customHeight="1">
      <c r="T777" s="2"/>
    </row>
    <row r="778" ht="14.25" customHeight="1">
      <c r="T778" s="2"/>
    </row>
    <row r="779" ht="14.25" customHeight="1">
      <c r="T779" s="2"/>
    </row>
    <row r="780" ht="14.25" customHeight="1">
      <c r="T780" s="2"/>
    </row>
    <row r="781" ht="14.25" customHeight="1">
      <c r="T781" s="2"/>
    </row>
    <row r="782" ht="14.25" customHeight="1">
      <c r="T782" s="2"/>
    </row>
    <row r="783" ht="14.25" customHeight="1">
      <c r="T783" s="2"/>
    </row>
    <row r="784" ht="14.25" customHeight="1">
      <c r="T784" s="2"/>
    </row>
    <row r="785" ht="14.25" customHeight="1">
      <c r="T785" s="2"/>
    </row>
    <row r="786" ht="14.25" customHeight="1">
      <c r="T786" s="2"/>
    </row>
    <row r="787" ht="14.25" customHeight="1">
      <c r="T787" s="2"/>
    </row>
    <row r="788" ht="14.25" customHeight="1">
      <c r="T788" s="2"/>
    </row>
    <row r="789" ht="14.25" customHeight="1">
      <c r="T789" s="2"/>
    </row>
    <row r="790" ht="14.25" customHeight="1">
      <c r="T790" s="2"/>
    </row>
    <row r="791" ht="14.25" customHeight="1">
      <c r="T791" s="2"/>
    </row>
    <row r="792" ht="14.25" customHeight="1">
      <c r="T792" s="2"/>
    </row>
    <row r="793" ht="14.25" customHeight="1">
      <c r="T793" s="2"/>
    </row>
    <row r="794" ht="14.25" customHeight="1">
      <c r="T794" s="2"/>
    </row>
    <row r="795" ht="14.25" customHeight="1">
      <c r="T795" s="2"/>
    </row>
    <row r="796" ht="14.25" customHeight="1">
      <c r="T796" s="2"/>
    </row>
    <row r="797" ht="14.25" customHeight="1">
      <c r="T797" s="2"/>
    </row>
    <row r="798" ht="14.25" customHeight="1">
      <c r="T798" s="2"/>
    </row>
    <row r="799" ht="14.25" customHeight="1">
      <c r="T799" s="2"/>
    </row>
    <row r="800" ht="14.25" customHeight="1">
      <c r="T800" s="2"/>
    </row>
    <row r="801" ht="14.25" customHeight="1">
      <c r="T801" s="2"/>
    </row>
    <row r="802" ht="14.25" customHeight="1">
      <c r="T802" s="2"/>
    </row>
    <row r="803" ht="14.25" customHeight="1">
      <c r="T803" s="2"/>
    </row>
    <row r="804" ht="14.25" customHeight="1">
      <c r="T804" s="2"/>
    </row>
    <row r="805" ht="14.25" customHeight="1">
      <c r="T805" s="2"/>
    </row>
    <row r="806" ht="14.25" customHeight="1">
      <c r="T806" s="2"/>
    </row>
    <row r="807" ht="14.25" customHeight="1">
      <c r="T807" s="2"/>
    </row>
    <row r="808" ht="14.25" customHeight="1">
      <c r="T808" s="2"/>
    </row>
    <row r="809" ht="14.25" customHeight="1">
      <c r="T809" s="2"/>
    </row>
    <row r="810" ht="14.25" customHeight="1">
      <c r="T810" s="2"/>
    </row>
    <row r="811" ht="14.25" customHeight="1">
      <c r="T811" s="2"/>
    </row>
    <row r="812" ht="14.25" customHeight="1">
      <c r="T812" s="2"/>
    </row>
    <row r="813" ht="14.25" customHeight="1">
      <c r="T813" s="2"/>
    </row>
    <row r="814" ht="14.25" customHeight="1">
      <c r="T814" s="2"/>
    </row>
    <row r="815" ht="14.25" customHeight="1">
      <c r="T815" s="2"/>
    </row>
    <row r="816" ht="14.25" customHeight="1">
      <c r="T816" s="2"/>
    </row>
    <row r="817" ht="14.25" customHeight="1">
      <c r="T817" s="2"/>
    </row>
    <row r="818" ht="14.25" customHeight="1">
      <c r="T818" s="2"/>
    </row>
    <row r="819" ht="14.25" customHeight="1">
      <c r="T819" s="2"/>
    </row>
    <row r="820" ht="14.25" customHeight="1">
      <c r="T820" s="2"/>
    </row>
    <row r="821" ht="14.25" customHeight="1">
      <c r="T821" s="2"/>
    </row>
    <row r="822" ht="14.25" customHeight="1">
      <c r="T822" s="2"/>
    </row>
    <row r="823" ht="14.25" customHeight="1">
      <c r="T823" s="2"/>
    </row>
    <row r="824" ht="14.25" customHeight="1">
      <c r="T824" s="2"/>
    </row>
    <row r="825" ht="14.25" customHeight="1">
      <c r="T825" s="2"/>
    </row>
    <row r="826" ht="14.25" customHeight="1">
      <c r="T826" s="2"/>
    </row>
    <row r="827" ht="14.25" customHeight="1">
      <c r="T827" s="2"/>
    </row>
    <row r="828" ht="14.25" customHeight="1">
      <c r="T828" s="2"/>
    </row>
    <row r="829" ht="14.25" customHeight="1">
      <c r="T829" s="2"/>
    </row>
    <row r="830" ht="14.25" customHeight="1">
      <c r="T830" s="2"/>
    </row>
    <row r="831" ht="14.25" customHeight="1">
      <c r="T831" s="2"/>
    </row>
    <row r="832" ht="14.25" customHeight="1">
      <c r="T832" s="2"/>
    </row>
    <row r="833" ht="14.25" customHeight="1">
      <c r="T833" s="2"/>
    </row>
    <row r="834" ht="14.25" customHeight="1">
      <c r="T834" s="2"/>
    </row>
    <row r="835" ht="14.25" customHeight="1">
      <c r="T835" s="2"/>
    </row>
    <row r="836" ht="14.25" customHeight="1">
      <c r="T836" s="2"/>
    </row>
    <row r="837" ht="14.25" customHeight="1">
      <c r="T837" s="2"/>
    </row>
    <row r="838" ht="14.25" customHeight="1">
      <c r="T838" s="2"/>
    </row>
    <row r="839" ht="14.25" customHeight="1">
      <c r="T839" s="2"/>
    </row>
    <row r="840" ht="14.25" customHeight="1">
      <c r="T840" s="2"/>
    </row>
    <row r="841" ht="14.25" customHeight="1">
      <c r="T841" s="2"/>
    </row>
    <row r="842" ht="14.25" customHeight="1">
      <c r="T842" s="2"/>
    </row>
    <row r="843" ht="14.25" customHeight="1">
      <c r="T843" s="2"/>
    </row>
    <row r="844" ht="14.25" customHeight="1">
      <c r="T844" s="2"/>
    </row>
    <row r="845" ht="14.25" customHeight="1">
      <c r="T845" s="2"/>
    </row>
    <row r="846" ht="14.25" customHeight="1">
      <c r="T846" s="2"/>
    </row>
    <row r="847" ht="14.25" customHeight="1">
      <c r="T847" s="2"/>
    </row>
    <row r="848" ht="14.25" customHeight="1">
      <c r="T848" s="2"/>
    </row>
    <row r="849" ht="14.25" customHeight="1">
      <c r="T849" s="2"/>
    </row>
    <row r="850" ht="14.25" customHeight="1">
      <c r="T850" s="2"/>
    </row>
    <row r="851" ht="14.25" customHeight="1">
      <c r="T851" s="2"/>
    </row>
    <row r="852" ht="14.25" customHeight="1">
      <c r="T852" s="2"/>
    </row>
    <row r="853" ht="14.25" customHeight="1">
      <c r="T853" s="2"/>
    </row>
    <row r="854" ht="14.25" customHeight="1">
      <c r="T854" s="2"/>
    </row>
    <row r="855" ht="14.25" customHeight="1">
      <c r="T855" s="2"/>
    </row>
    <row r="856" ht="14.25" customHeight="1">
      <c r="T856" s="2"/>
    </row>
    <row r="857" ht="14.25" customHeight="1">
      <c r="T857" s="2"/>
    </row>
    <row r="858" ht="14.25" customHeight="1">
      <c r="T858" s="2"/>
    </row>
    <row r="859" ht="14.25" customHeight="1">
      <c r="T859" s="2"/>
    </row>
    <row r="860" ht="14.25" customHeight="1">
      <c r="T860" s="2"/>
    </row>
    <row r="861" ht="14.25" customHeight="1">
      <c r="T861" s="2"/>
    </row>
    <row r="862" ht="14.25" customHeight="1">
      <c r="T862" s="2"/>
    </row>
    <row r="863" ht="14.25" customHeight="1">
      <c r="T863" s="2"/>
    </row>
    <row r="864" ht="14.25" customHeight="1">
      <c r="T864" s="2"/>
    </row>
    <row r="865" ht="14.25" customHeight="1">
      <c r="T865" s="2"/>
    </row>
    <row r="866" ht="14.25" customHeight="1">
      <c r="T866" s="2"/>
    </row>
    <row r="867" ht="14.25" customHeight="1">
      <c r="T867" s="2"/>
    </row>
    <row r="868" ht="14.25" customHeight="1">
      <c r="T868" s="2"/>
    </row>
    <row r="869" ht="14.25" customHeight="1">
      <c r="T869" s="2"/>
    </row>
    <row r="870" ht="14.25" customHeight="1">
      <c r="T870" s="2"/>
    </row>
    <row r="871" ht="14.25" customHeight="1">
      <c r="T871" s="2"/>
    </row>
    <row r="872" ht="14.25" customHeight="1">
      <c r="T872" s="2"/>
    </row>
    <row r="873" ht="14.25" customHeight="1">
      <c r="T873" s="2"/>
    </row>
    <row r="874" ht="14.25" customHeight="1">
      <c r="T874" s="2"/>
    </row>
    <row r="875" ht="14.25" customHeight="1">
      <c r="T875" s="2"/>
    </row>
    <row r="876" ht="14.25" customHeight="1">
      <c r="T876" s="2"/>
    </row>
    <row r="877" ht="14.25" customHeight="1">
      <c r="T877" s="2"/>
    </row>
    <row r="878" ht="14.25" customHeight="1">
      <c r="T878" s="2"/>
    </row>
    <row r="879" ht="14.25" customHeight="1">
      <c r="T879" s="2"/>
    </row>
    <row r="880" ht="14.25" customHeight="1">
      <c r="T880" s="2"/>
    </row>
    <row r="881" ht="14.25" customHeight="1">
      <c r="T881" s="2"/>
    </row>
    <row r="882" ht="14.25" customHeight="1">
      <c r="T882" s="2"/>
    </row>
    <row r="883" ht="14.25" customHeight="1">
      <c r="T883" s="2"/>
    </row>
    <row r="884" ht="14.25" customHeight="1">
      <c r="T884" s="2"/>
    </row>
    <row r="885" ht="14.25" customHeight="1">
      <c r="T885" s="2"/>
    </row>
    <row r="886" ht="14.25" customHeight="1">
      <c r="T886" s="2"/>
    </row>
    <row r="887" ht="14.25" customHeight="1">
      <c r="T887" s="2"/>
    </row>
    <row r="888" ht="14.25" customHeight="1">
      <c r="T888" s="2"/>
    </row>
    <row r="889" ht="14.25" customHeight="1">
      <c r="T889" s="2"/>
    </row>
    <row r="890" ht="14.25" customHeight="1">
      <c r="T890" s="2"/>
    </row>
    <row r="891" ht="14.25" customHeight="1">
      <c r="T891" s="2"/>
    </row>
    <row r="892" ht="14.25" customHeight="1">
      <c r="T892" s="2"/>
    </row>
    <row r="893" ht="14.25" customHeight="1">
      <c r="T893" s="2"/>
    </row>
    <row r="894" ht="14.25" customHeight="1">
      <c r="T894" s="2"/>
    </row>
    <row r="895" ht="14.25" customHeight="1">
      <c r="T895" s="2"/>
    </row>
    <row r="896" ht="14.25" customHeight="1">
      <c r="T896" s="2"/>
    </row>
    <row r="897" ht="14.25" customHeight="1">
      <c r="T897" s="2"/>
    </row>
    <row r="898" ht="14.25" customHeight="1">
      <c r="T898" s="2"/>
    </row>
    <row r="899" ht="14.25" customHeight="1">
      <c r="T899" s="2"/>
    </row>
    <row r="900" ht="14.25" customHeight="1">
      <c r="T900" s="2"/>
    </row>
    <row r="901" ht="14.25" customHeight="1">
      <c r="T901" s="2"/>
    </row>
    <row r="902" ht="14.25" customHeight="1">
      <c r="T902" s="2"/>
    </row>
    <row r="903" ht="14.25" customHeight="1">
      <c r="T903" s="2"/>
    </row>
    <row r="904" ht="14.25" customHeight="1">
      <c r="T904" s="2"/>
    </row>
    <row r="905" ht="14.25" customHeight="1">
      <c r="T905" s="2"/>
    </row>
    <row r="906" ht="14.25" customHeight="1">
      <c r="T906" s="2"/>
    </row>
    <row r="907" ht="14.25" customHeight="1">
      <c r="T907" s="2"/>
    </row>
    <row r="908" ht="14.25" customHeight="1">
      <c r="T908" s="2"/>
    </row>
    <row r="909" ht="14.25" customHeight="1">
      <c r="T909" s="2"/>
    </row>
    <row r="910" ht="14.25" customHeight="1">
      <c r="T910" s="2"/>
    </row>
    <row r="911" ht="14.25" customHeight="1">
      <c r="T911" s="2"/>
    </row>
    <row r="912" ht="14.25" customHeight="1">
      <c r="T912" s="2"/>
    </row>
    <row r="913" ht="14.25" customHeight="1">
      <c r="T913" s="2"/>
    </row>
    <row r="914" ht="14.25" customHeight="1">
      <c r="T914" s="2"/>
    </row>
    <row r="915" ht="14.25" customHeight="1">
      <c r="T915" s="2"/>
    </row>
    <row r="916" ht="14.25" customHeight="1">
      <c r="T916" s="2"/>
    </row>
    <row r="917" ht="14.25" customHeight="1">
      <c r="T917" s="2"/>
    </row>
    <row r="918" ht="14.25" customHeight="1">
      <c r="T918" s="2"/>
    </row>
    <row r="919" ht="14.25" customHeight="1">
      <c r="T919" s="2"/>
    </row>
    <row r="920" ht="14.25" customHeight="1">
      <c r="T920" s="2"/>
    </row>
    <row r="921" ht="14.25" customHeight="1">
      <c r="T921" s="2"/>
    </row>
    <row r="922" ht="14.25" customHeight="1">
      <c r="T922" s="2"/>
    </row>
    <row r="923" ht="14.25" customHeight="1">
      <c r="T923" s="2"/>
    </row>
    <row r="924" ht="14.25" customHeight="1">
      <c r="T924" s="2"/>
    </row>
    <row r="925" ht="14.25" customHeight="1">
      <c r="T925" s="2"/>
    </row>
    <row r="926" ht="14.25" customHeight="1">
      <c r="T926" s="2"/>
    </row>
    <row r="927" ht="14.25" customHeight="1">
      <c r="T927" s="2"/>
    </row>
    <row r="928" ht="14.25" customHeight="1">
      <c r="T928" s="2"/>
    </row>
    <row r="929" ht="14.25" customHeight="1">
      <c r="T929" s="2"/>
    </row>
    <row r="930" ht="14.25" customHeight="1">
      <c r="T930" s="2"/>
    </row>
    <row r="931" ht="14.25" customHeight="1">
      <c r="T931" s="2"/>
    </row>
    <row r="932" ht="14.25" customHeight="1">
      <c r="T932" s="2"/>
    </row>
    <row r="933" ht="14.25" customHeight="1">
      <c r="T933" s="2"/>
    </row>
    <row r="934" ht="14.25" customHeight="1">
      <c r="T934" s="2"/>
    </row>
    <row r="935" ht="14.25" customHeight="1">
      <c r="T935" s="2"/>
    </row>
    <row r="936" ht="14.25" customHeight="1">
      <c r="T936" s="2"/>
    </row>
    <row r="937" ht="14.25" customHeight="1">
      <c r="T937" s="2"/>
    </row>
    <row r="938" ht="14.25" customHeight="1">
      <c r="T938" s="2"/>
    </row>
    <row r="939" ht="14.25" customHeight="1">
      <c r="T939" s="2"/>
    </row>
    <row r="940" ht="14.25" customHeight="1">
      <c r="T940" s="2"/>
    </row>
    <row r="941" ht="14.25" customHeight="1">
      <c r="T941" s="2"/>
    </row>
    <row r="942" ht="14.25" customHeight="1">
      <c r="T942" s="2"/>
    </row>
    <row r="943" ht="14.25" customHeight="1">
      <c r="T943" s="2"/>
    </row>
    <row r="944" ht="14.25" customHeight="1">
      <c r="T944" s="2"/>
    </row>
    <row r="945" ht="14.25" customHeight="1">
      <c r="T945" s="2"/>
    </row>
    <row r="946" ht="14.25" customHeight="1">
      <c r="T946" s="2"/>
    </row>
    <row r="947" ht="14.25" customHeight="1">
      <c r="T947" s="2"/>
    </row>
    <row r="948" ht="14.25" customHeight="1">
      <c r="T948" s="2"/>
    </row>
    <row r="949" ht="14.25" customHeight="1">
      <c r="T949" s="2"/>
    </row>
    <row r="950" ht="14.25" customHeight="1">
      <c r="T950" s="2"/>
    </row>
    <row r="951" ht="14.25" customHeight="1">
      <c r="T951" s="2"/>
    </row>
    <row r="952" ht="14.25" customHeight="1">
      <c r="T952" s="2"/>
    </row>
    <row r="953" ht="14.25" customHeight="1">
      <c r="T953" s="2"/>
    </row>
    <row r="954" ht="14.25" customHeight="1">
      <c r="T954" s="2"/>
    </row>
    <row r="955" ht="14.25" customHeight="1">
      <c r="T955" s="2"/>
    </row>
    <row r="956" ht="14.25" customHeight="1">
      <c r="T956" s="2"/>
    </row>
    <row r="957" ht="14.25" customHeight="1">
      <c r="T957" s="2"/>
    </row>
    <row r="958" ht="14.25" customHeight="1">
      <c r="T958" s="2"/>
    </row>
    <row r="959" ht="14.25" customHeight="1">
      <c r="T959" s="2"/>
    </row>
    <row r="960" ht="14.25" customHeight="1">
      <c r="T960" s="2"/>
    </row>
    <row r="961" ht="14.25" customHeight="1">
      <c r="T961" s="2"/>
    </row>
    <row r="962" ht="14.25" customHeight="1">
      <c r="T962" s="2"/>
    </row>
    <row r="963" ht="14.25" customHeight="1">
      <c r="T963" s="2"/>
    </row>
    <row r="964" ht="14.25" customHeight="1">
      <c r="T964" s="2"/>
    </row>
    <row r="965" ht="14.25" customHeight="1">
      <c r="T965" s="2"/>
    </row>
    <row r="966" ht="14.25" customHeight="1">
      <c r="T966" s="2"/>
    </row>
    <row r="967" ht="14.25" customHeight="1">
      <c r="T967" s="2"/>
    </row>
    <row r="968" ht="14.25" customHeight="1">
      <c r="T968" s="2"/>
    </row>
    <row r="969" ht="14.25" customHeight="1">
      <c r="T969" s="2"/>
    </row>
    <row r="970" ht="14.25" customHeight="1">
      <c r="T970" s="2"/>
    </row>
    <row r="971" ht="14.25" customHeight="1">
      <c r="T971" s="2"/>
    </row>
    <row r="972" ht="14.25" customHeight="1">
      <c r="T972" s="2"/>
    </row>
    <row r="973" ht="14.25" customHeight="1">
      <c r="T973" s="2"/>
    </row>
    <row r="974" ht="14.25" customHeight="1">
      <c r="T974" s="2"/>
    </row>
    <row r="975" ht="14.25" customHeight="1">
      <c r="T975" s="2"/>
    </row>
    <row r="976" ht="14.25" customHeight="1">
      <c r="T976" s="2"/>
    </row>
    <row r="977" ht="14.25" customHeight="1">
      <c r="T977" s="2"/>
    </row>
    <row r="978" ht="14.25" customHeight="1">
      <c r="T978" s="2"/>
    </row>
    <row r="979" ht="14.25" customHeight="1">
      <c r="T979" s="2"/>
    </row>
    <row r="980" ht="14.25" customHeight="1">
      <c r="T980" s="2"/>
    </row>
    <row r="981" ht="14.25" customHeight="1">
      <c r="T981" s="2"/>
    </row>
    <row r="982" ht="14.25" customHeight="1">
      <c r="T982" s="2"/>
    </row>
    <row r="983" ht="14.25" customHeight="1">
      <c r="T983" s="2"/>
    </row>
    <row r="984" ht="14.25" customHeight="1">
      <c r="T984" s="2"/>
    </row>
    <row r="985" ht="14.25" customHeight="1">
      <c r="T985" s="2"/>
    </row>
    <row r="986" ht="14.25" customHeight="1">
      <c r="T986" s="2"/>
    </row>
    <row r="987" ht="14.25" customHeight="1">
      <c r="T987" s="2"/>
    </row>
    <row r="988" ht="14.25" customHeight="1">
      <c r="T988" s="2"/>
    </row>
    <row r="989" ht="14.25" customHeight="1">
      <c r="T989" s="2"/>
    </row>
    <row r="990" ht="14.25" customHeight="1">
      <c r="T990" s="2"/>
    </row>
    <row r="991" ht="14.25" customHeight="1">
      <c r="T991" s="2"/>
    </row>
    <row r="992" ht="14.25" customHeight="1">
      <c r="T992" s="2"/>
    </row>
    <row r="993" ht="14.25" customHeight="1">
      <c r="T993" s="2"/>
    </row>
    <row r="994" ht="14.25" customHeight="1">
      <c r="T994" s="2"/>
    </row>
    <row r="995" ht="14.25" customHeight="1">
      <c r="T995" s="2"/>
    </row>
    <row r="996" ht="14.25" customHeight="1">
      <c r="T996" s="2"/>
    </row>
    <row r="997" ht="14.25" customHeight="1">
      <c r="T997" s="2"/>
    </row>
    <row r="998" ht="14.25" customHeight="1">
      <c r="T998" s="2"/>
    </row>
    <row r="999" ht="14.25" customHeight="1">
      <c r="T999" s="2"/>
    </row>
    <row r="1000" ht="14.25" customHeight="1">
      <c r="T1000" s="2"/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7" width="17.13"/>
  </cols>
  <sheetData>
    <row r="1" ht="102.0" customHeight="1">
      <c r="A1" s="1" t="str">
        <f>TJKT!T2</f>
        <v/>
      </c>
      <c r="B1" s="1" t="str">
        <f>TJKT!T3</f>
        <v/>
      </c>
      <c r="C1" s="1" t="str">
        <f>TJKT!T4</f>
        <v/>
      </c>
      <c r="D1" s="1" t="str">
        <f>TJKT!T4</f>
        <v/>
      </c>
      <c r="E1" s="1" t="str">
        <f>TJKT!T5</f>
        <v/>
      </c>
      <c r="F1" s="1" t="str">
        <f t="array" ref="F1">IFERROR(INDEX(TJKT!$T:$T, (ROUNDUP(ROW()/2,0)-1)*7 + COLUMN() + 1), "")</f>
        <v/>
      </c>
      <c r="G1" s="1" t="str">
        <f t="array" ref="G1">IFERROR(INDEX(TJKT!$T:$T, (ROUNDUP(ROW()/2,0)-1)*7 + COLUMN() + 1), "")</f>
        <v/>
      </c>
    </row>
    <row r="2">
      <c r="A2" s="1" t="str">
        <f t="array" ref="A2">IFERROR(INDEX(TJKT!$B:$B, (ROW()/2-1)*7 + COLUMN() + 1), "")</f>
        <v>TJKT-PC-001-26</v>
      </c>
      <c r="B2" s="1" t="str">
        <f t="array" ref="B2">IFERROR(INDEX(TJKT!$B:$B, (ROW()/2-1)*7 + COLUMN() + 1), "")</f>
        <v>TJKT-PC-002-26</v>
      </c>
      <c r="C2" s="1" t="str">
        <f t="array" ref="C2">IFERROR(INDEX(TJKT!$B:$B, (ROW()/2-1)*7 + COLUMN() + 1), "")</f>
        <v>TJKT-PC-003-26</v>
      </c>
      <c r="D2" s="1" t="str">
        <f t="array" ref="D2">IFERROR(INDEX(TJKT!$B:$B, (ROW()/2-1)*7 + COLUMN() + 1), "")</f>
        <v>TJKT-PC-004-26</v>
      </c>
      <c r="E2" s="1" t="str">
        <f t="array" ref="E2">IFERROR(INDEX(TJKT!$B:$B, (ROW()/2-1)*7 + COLUMN() + 1), "")</f>
        <v>TJKT-PC-005-26</v>
      </c>
      <c r="F2" s="1" t="str">
        <f t="array" ref="F2">IFERROR(INDEX(TJKT!$B:$B, (ROW()/2-1)*7 + COLUMN() + 1), "")</f>
        <v>TJKT-PC-006-26</v>
      </c>
      <c r="G2" s="1" t="str">
        <f t="array" ref="G2">IFERROR(INDEX(TJKT!$B:$B, (ROW()/2-1)*7 + COLUMN() + 1), "")</f>
        <v>TJKT-PC-007-26</v>
      </c>
    </row>
    <row r="3" ht="102.0" customHeight="1">
      <c r="A3" s="1" t="str">
        <f t="array" ref="A3">IFERROR(INDEX(TJKT!$T:$T, (ROUNDUP(ROW()/2,0)-1)*7 + COLUMN() + 1), "")</f>
        <v/>
      </c>
      <c r="B3" s="1" t="str">
        <f t="array" ref="B3">IFERROR(INDEX(TJKT!$T:$T, (ROUNDUP(ROW()/2,0)-1)*7 + COLUMN() + 1), "")</f>
        <v/>
      </c>
      <c r="C3" s="1" t="str">
        <f t="array" ref="C3">IFERROR(INDEX(TJKT!$T:$T, (ROUNDUP(ROW()/2,0)-1)*7 + COLUMN() + 1), "")</f>
        <v/>
      </c>
      <c r="D3" s="1" t="str">
        <f t="array" ref="D3">IFERROR(INDEX(TJKT!$T:$T, (ROUNDUP(ROW()/2,0)-1)*7 + COLUMN() + 1), "")</f>
        <v/>
      </c>
      <c r="E3" s="1" t="str">
        <f t="array" ref="E3">IFERROR(INDEX(TJKT!$T:$T, (ROUNDUP(ROW()/2,0)-1)*7 + COLUMN() + 1), "")</f>
        <v/>
      </c>
      <c r="F3" s="1" t="str">
        <f t="array" ref="F3">IFERROR(INDEX(TJKT!$T:$T, (ROUNDUP(ROW()/2,0)-1)*7 + COLUMN() + 1), "")</f>
        <v/>
      </c>
      <c r="G3" s="1" t="str">
        <f t="array" ref="G3">IFERROR(INDEX(TJKT!$T:$T, (ROUNDUP(ROW()/2,0)-1)*7 + COLUMN() + 1), "")</f>
        <v/>
      </c>
    </row>
    <row r="4">
      <c r="A4" s="1" t="str">
        <f t="array" ref="A4">IFERROR(INDEX(TJKT!$B:$B, (ROW()/2-1)*7 + COLUMN() + 1), "")</f>
        <v>TJKT-PC-008-26</v>
      </c>
      <c r="B4" s="1" t="str">
        <f t="array" ref="B4">IFERROR(INDEX(TJKT!$B:$B, (ROW()/2-1)*7 + COLUMN() + 1), "")</f>
        <v>TJKT-PC-009-26</v>
      </c>
      <c r="C4" s="1" t="str">
        <f t="array" ref="C4">IFERROR(INDEX(TJKT!$B:$B, (ROW()/2-1)*7 + COLUMN() + 1), "")</f>
        <v>TJKT-PC-0010-26</v>
      </c>
      <c r="D4" s="1" t="str">
        <f t="array" ref="D4">IFERROR(INDEX(TJKT!$B:$B, (ROW()/2-1)*7 + COLUMN() + 1), "")</f>
        <v>TJKT-PC-0011-26</v>
      </c>
      <c r="E4" s="1" t="str">
        <f t="array" ref="E4">IFERROR(INDEX(TJKT!$B:$B, (ROW()/2-1)*7 + COLUMN() + 1), "")</f>
        <v>TJKT-PC-0012-26</v>
      </c>
      <c r="F4" s="1" t="str">
        <f t="array" ref="F4">IFERROR(INDEX(TJKT!$B:$B, (ROW()/2-1)*7 + COLUMN() + 1), "")</f>
        <v>TJKT-PC-0013-26</v>
      </c>
      <c r="G4" s="1" t="str">
        <f t="array" ref="G4">IFERROR(INDEX(TJKT!$B:$B, (ROW()/2-1)*7 + COLUMN() + 1), "")</f>
        <v>TJKT-PC-0014-26</v>
      </c>
    </row>
    <row r="5" ht="102.0" customHeight="1">
      <c r="A5" s="1" t="str">
        <f t="array" ref="A5">IFERROR(INDEX(TJKT!$T:$T, (ROUNDUP(ROW()/2,0)-1)*7 + COLUMN() + 1), "")</f>
        <v/>
      </c>
      <c r="B5" s="1" t="str">
        <f t="array" ref="B5">IFERROR(INDEX(TJKT!$T:$T, (ROUNDUP(ROW()/2,0)-1)*7 + COLUMN() + 1), "")</f>
        <v/>
      </c>
      <c r="C5" s="1" t="str">
        <f t="array" ref="C5">IFERROR(INDEX(TJKT!$T:$T, (ROUNDUP(ROW()/2,0)-1)*7 + COLUMN() + 1), "")</f>
        <v/>
      </c>
      <c r="D5" s="1" t="str">
        <f t="array" ref="D5">IFERROR(INDEX(TJKT!$T:$T, (ROUNDUP(ROW()/2,0)-1)*7 + COLUMN() + 1), "")</f>
        <v/>
      </c>
      <c r="E5" s="1" t="str">
        <f t="array" ref="E5">IFERROR(INDEX(TJKT!$T:$T, (ROUNDUP(ROW()/2,0)-1)*7 + COLUMN() + 1), "")</f>
        <v/>
      </c>
      <c r="F5" s="1" t="str">
        <f t="array" ref="F5">IFERROR(INDEX(TJKT!$T:$T, (ROUNDUP(ROW()/2,0)-1)*7 + COLUMN() + 1), "")</f>
        <v/>
      </c>
      <c r="G5" s="1" t="str">
        <f t="array" ref="G5">IFERROR(INDEX(TJKT!$T:$T, (ROUNDUP(ROW()/2,0)-1)*7 + COLUMN() + 1), "")</f>
        <v/>
      </c>
    </row>
    <row r="6">
      <c r="A6" s="1" t="str">
        <f t="array" ref="A6">IFERROR(INDEX(TJKT!$B:$B, (ROW()/2-1)*7 + COLUMN() + 1), "")</f>
        <v>TJKT-PC-0015-26</v>
      </c>
      <c r="B6" s="1" t="str">
        <f t="array" ref="B6">IFERROR(INDEX(TJKT!$B:$B, (ROW()/2-1)*7 + COLUMN() + 1), "")</f>
        <v>TJKT-PC-0016-26</v>
      </c>
      <c r="C6" s="1" t="str">
        <f t="array" ref="C6">IFERROR(INDEX(TJKT!$B:$B, (ROW()/2-1)*7 + COLUMN() + 1), "")</f>
        <v>TJKT-PC-0017-26</v>
      </c>
      <c r="D6" s="1" t="str">
        <f t="array" ref="D6">IFERROR(INDEX(TJKT!$B:$B, (ROW()/2-1)*7 + COLUMN() + 1), "")</f>
        <v>TJKT-PC-0018-26</v>
      </c>
      <c r="E6" s="1" t="str">
        <f t="array" ref="E6">IFERROR(INDEX(TJKT!$B:$B, (ROW()/2-1)*7 + COLUMN() + 1), "")</f>
        <v>TJKT-PC-0019-26</v>
      </c>
      <c r="F6" s="1" t="str">
        <f t="array" ref="F6">IFERROR(INDEX(TJKT!$B:$B, (ROW()/2-1)*7 + COLUMN() + 1), "")</f>
        <v>TJKT-PC-0020-26</v>
      </c>
      <c r="G6" s="1" t="str">
        <f t="array" ref="G6">IFERROR(INDEX(TJKT!$B:$B, (ROW()/2-1)*7 + COLUMN() + 1), "")</f>
        <v>TJKT-PC-0021-26</v>
      </c>
    </row>
    <row r="7" ht="102.0" customHeight="1">
      <c r="A7" s="1" t="str">
        <f t="array" ref="A7">IFERROR(INDEX(TJKT!$T:$T, (ROUNDUP(ROW()/2,0)-1)*7 + COLUMN() + 1), "")</f>
        <v/>
      </c>
      <c r="B7" s="1" t="str">
        <f t="array" ref="B7">IFERROR(INDEX(TJKT!$T:$T, (ROUNDUP(ROW()/2,0)-1)*7 + COLUMN() + 1), "")</f>
        <v/>
      </c>
      <c r="C7" s="1" t="str">
        <f t="array" ref="C7">IFERROR(INDEX(TJKT!$T:$T, (ROUNDUP(ROW()/2,0)-1)*7 + COLUMN() + 1), "")</f>
        <v/>
      </c>
      <c r="D7" s="1" t="str">
        <f t="array" ref="D7">IFERROR(INDEX(TJKT!$T:$T, (ROUNDUP(ROW()/2,0)-1)*7 + COLUMN() + 1), "")</f>
        <v/>
      </c>
      <c r="E7" s="1" t="str">
        <f t="array" ref="E7">IFERROR(INDEX(TJKT!$T:$T, (ROUNDUP(ROW()/2,0)-1)*7 + COLUMN() + 1), "")</f>
        <v/>
      </c>
      <c r="F7" s="1" t="str">
        <f t="array" ref="F7">IFERROR(INDEX(TJKT!$T:$T, (ROUNDUP(ROW()/2,0)-1)*7 + COLUMN() + 1), "")</f>
        <v/>
      </c>
      <c r="G7" s="1" t="str">
        <f t="array" ref="G7">IFERROR(INDEX(TJKT!$T:$T, (ROUNDUP(ROW()/2,0)-1)*7 + COLUMN() + 1), "")</f>
        <v/>
      </c>
    </row>
    <row r="8">
      <c r="A8" s="1" t="str">
        <f t="array" ref="A8">IFERROR(INDEX(TJKT!$B:$B, (ROW()/2-1)*7 + COLUMN() + 1), "")</f>
        <v>TJKT-PC-0022-26</v>
      </c>
      <c r="B8" s="1" t="str">
        <f t="array" ref="B8">IFERROR(INDEX(TJKT!$B:$B, (ROW()/2-1)*7 + COLUMN() + 1), "")</f>
        <v>TJKT-PC-0023-26</v>
      </c>
      <c r="C8" s="1" t="str">
        <f t="array" ref="C8">IFERROR(INDEX(TJKT!$B:$B, (ROW()/2-1)*7 + COLUMN() + 1), "")</f>
        <v>TJKT-PC-0024-26</v>
      </c>
      <c r="D8" s="1" t="str">
        <f t="array" ref="D8">IFERROR(INDEX(TJKT!$B:$B, (ROW()/2-1)*7 + COLUMN() + 1), "")</f>
        <v>TJKT-PC-0025-26</v>
      </c>
      <c r="E8" s="1" t="str">
        <f t="array" ref="E8">IFERROR(INDEX(TJKT!$B:$B, (ROW()/2-1)*7 + COLUMN() + 1), "")</f>
        <v>TJKT-PC-0026-26</v>
      </c>
      <c r="F8" s="1" t="str">
        <f t="array" ref="F8">IFERROR(INDEX(TJKT!$B:$B, (ROW()/2-1)*7 + COLUMN() + 1), "")</f>
        <v>TJKT-PC-0027-26</v>
      </c>
      <c r="G8" s="1" t="str">
        <f t="array" ref="G8">IFERROR(INDEX(TJKT!$B:$B, (ROW()/2-1)*7 + COLUMN() + 1), "")</f>
        <v>TJKT-PC-0028-26</v>
      </c>
    </row>
    <row r="9" ht="102.0" customHeight="1">
      <c r="A9" s="1" t="str">
        <f t="array" ref="A9">IFERROR(INDEX(TJKT!$T:$T, (ROUNDUP(ROW()/2,0)-1)*7 + COLUMN() + 1), "")</f>
        <v/>
      </c>
      <c r="B9" s="1" t="str">
        <f t="array" ref="B9">IFERROR(INDEX(TJKT!$T:$T, (ROUNDUP(ROW()/2,0)-1)*7 + COLUMN() + 1), "")</f>
        <v/>
      </c>
      <c r="C9" s="1" t="str">
        <f t="array" ref="C9">IFERROR(INDEX(TJKT!$T:$T, (ROUNDUP(ROW()/2,0)-1)*7 + COLUMN() + 1), "")</f>
        <v/>
      </c>
      <c r="D9" s="1" t="str">
        <f t="array" ref="D9">IFERROR(INDEX(TJKT!$T:$T, (ROUNDUP(ROW()/2,0)-1)*7 + COLUMN() + 1), "")</f>
        <v/>
      </c>
      <c r="E9" s="1" t="str">
        <f t="array" ref="E9">IFERROR(INDEX(TJKT!$T:$T, (ROUNDUP(ROW()/2,0)-1)*7 + COLUMN() + 1), "")</f>
        <v/>
      </c>
      <c r="F9" s="1" t="str">
        <f t="array" ref="F9">IFERROR(INDEX(TJKT!$T:$T, (ROUNDUP(ROW()/2,0)-1)*7 + COLUMN() + 1), "")</f>
        <v/>
      </c>
      <c r="G9" s="1" t="str">
        <f t="array" ref="G9">IFERROR(INDEX(TJKT!$T:$T, (ROUNDUP(ROW()/2,0)-1)*7 + COLUMN() + 1), "")</f>
        <v/>
      </c>
    </row>
    <row r="10">
      <c r="A10" s="1" t="str">
        <f t="array" ref="A10">IFERROR(INDEX(TJKT!$B:$B, (ROW()/2-1)*7 + COLUMN() + 1), "")</f>
        <v>TJKT-PC-0029-26</v>
      </c>
      <c r="B10" s="1" t="str">
        <f t="array" ref="B10">IFERROR(INDEX(TJKT!$B:$B, (ROW()/2-1)*7 + COLUMN() + 1), "")</f>
        <v>TJKT-PC-0030-26</v>
      </c>
      <c r="C10" s="1" t="str">
        <f t="array" ref="C10">IFERROR(INDEX(TJKT!$B:$B, (ROW()/2-1)*7 + COLUMN() + 1), "")</f>
        <v>TJKT-PC-0031-26</v>
      </c>
      <c r="D10" s="1" t="str">
        <f t="array" ref="D10">IFERROR(INDEX(TJKT!$B:$B, (ROW()/2-1)*7 + COLUMN() + 1), "")</f>
        <v>TJKT-PC-0032-26</v>
      </c>
      <c r="E10" s="1" t="str">
        <f t="array" ref="E10">IFERROR(INDEX(TJKT!$B:$B, (ROW()/2-1)*7 + COLUMN() + 1), "")</f>
        <v>TJKT-PC-0033-26</v>
      </c>
      <c r="F10" s="1" t="str">
        <f t="array" ref="F10">IFERROR(INDEX(TJKT!$B:$B, (ROW()/2-1)*7 + COLUMN() + 1), "")</f>
        <v>TJKT-PC-0034-26</v>
      </c>
      <c r="G10" s="1" t="str">
        <f t="array" ref="G10">IFERROR(INDEX(TJKT!$B:$B, (ROW()/2-1)*7 + COLUMN() + 1), "")</f>
        <v>TJKT-PC-0035-26</v>
      </c>
    </row>
    <row r="11">
      <c r="A11" s="2" t="str">
        <f t="array" ref="A11">IFERROR(INDEX(TJKT!$T:$T, (ROUNDUP(ROW()/2,0)-1)*7 + COLUMN() + 1), "")</f>
        <v/>
      </c>
      <c r="B11" s="2" t="str">
        <f t="array" ref="B11">IFERROR(INDEX(TJKT!$T:$T, (ROUNDUP(ROW()/2,0)-1)*7 + COLUMN() + 1), "")</f>
        <v/>
      </c>
      <c r="C11" s="2" t="str">
        <f t="array" ref="C11">IFERROR(INDEX(TJKT!$T:$T, (ROUNDUP(ROW()/2,0)-1)*7 + COLUMN() + 1), "")</f>
        <v/>
      </c>
      <c r="D11" s="2" t="str">
        <f t="array" ref="D11">IFERROR(INDEX(TJKT!$T:$T, (ROUNDUP(ROW()/2,0)-1)*7 + COLUMN() + 1), "")</f>
        <v/>
      </c>
      <c r="E11" s="2" t="str">
        <f t="array" ref="E11">IFERROR(INDEX(TJKT!$T:$T, (ROUNDUP(ROW()/2,0)-1)*7 + COLUMN() + 1), "")</f>
        <v/>
      </c>
      <c r="F11" s="2" t="str">
        <f t="array" ref="F11">IFERROR(INDEX(TJKT!$T:$T, (ROUNDUP(ROW()/2,0)-1)*7 + COLUMN() + 1), "")</f>
        <v/>
      </c>
      <c r="G11" s="2" t="str">
        <f t="array" ref="G11">IFERROR(INDEX(TJKT!$T:$T, (ROUNDUP(ROW()/2,0)-1)*7 + COLUMN() + 1), "")</f>
        <v/>
      </c>
    </row>
    <row r="12">
      <c r="A12" s="2" t="str">
        <f t="array" ref="A12">IFERROR(INDEX(TJKT!$B:$B, (ROW()/2-1)*7 + COLUMN() + 1), "")</f>
        <v/>
      </c>
      <c r="B12" s="2" t="str">
        <f t="array" ref="B12">IFERROR(INDEX(TJKT!$B:$B, (ROW()/2-1)*7 + COLUMN() + 1), "")</f>
        <v/>
      </c>
      <c r="C12" s="2" t="str">
        <f t="array" ref="C12">IFERROR(INDEX(TJKT!$B:$B, (ROW()/2-1)*7 + COLUMN() + 1), "")</f>
        <v/>
      </c>
      <c r="D12" s="2" t="str">
        <f t="array" ref="D12">IFERROR(INDEX(TJKT!$B:$B, (ROW()/2-1)*7 + COLUMN() + 1), "")</f>
        <v/>
      </c>
      <c r="E12" s="2" t="str">
        <f t="array" ref="E12">IFERROR(INDEX(TJKT!$B:$B, (ROW()/2-1)*7 + COLUMN() + 1), "")</f>
        <v/>
      </c>
      <c r="F12" s="2" t="str">
        <f t="array" ref="F12">IFERROR(INDEX(TJKT!$B:$B, (ROW()/2-1)*7 + COLUMN() + 1), "")</f>
        <v/>
      </c>
      <c r="G12" s="2" t="str">
        <f t="array" ref="G12">IFERROR(INDEX(TJKT!$B:$B, (ROW()/2-1)*7 + COLUMN() + 1), "")</f>
        <v/>
      </c>
    </row>
    <row r="13">
      <c r="A13" s="2" t="str">
        <f t="array" ref="A13">IFERROR(INDEX(TJKT!$T:$T, (ROUNDUP(ROW()/2,0)-1)*7 + COLUMN() + 1), "")</f>
        <v/>
      </c>
      <c r="B13" s="2" t="str">
        <f t="array" ref="B13">IFERROR(INDEX(TJKT!$T:$T, (ROUNDUP(ROW()/2,0)-1)*7 + COLUMN() + 1), "")</f>
        <v/>
      </c>
      <c r="C13" s="2" t="str">
        <f t="array" ref="C13">IFERROR(INDEX(TJKT!$T:$T, (ROUNDUP(ROW()/2,0)-1)*7 + COLUMN() + 1), "")</f>
        <v/>
      </c>
      <c r="D13" s="2" t="str">
        <f t="array" ref="D13">IFERROR(INDEX(TJKT!$T:$T, (ROUNDUP(ROW()/2,0)-1)*7 + COLUMN() + 1), "")</f>
        <v/>
      </c>
      <c r="E13" s="2" t="str">
        <f t="array" ref="E13">IFERROR(INDEX(TJKT!$T:$T, (ROUNDUP(ROW()/2,0)-1)*7 + COLUMN() + 1), "")</f>
        <v/>
      </c>
      <c r="F13" s="2" t="str">
        <f t="array" ref="F13">IFERROR(INDEX(TJKT!$T:$T, (ROUNDUP(ROW()/2,0)-1)*7 + COLUMN() + 1), "")</f>
        <v/>
      </c>
      <c r="G13" s="2" t="str">
        <f t="array" ref="G13">IFERROR(INDEX(TJKT!$T:$T, (ROUNDUP(ROW()/2,0)-1)*7 + COLUMN() + 1), "")</f>
        <v/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25"/>
    <col customWidth="1" min="2" max="3" width="21.0"/>
    <col customWidth="1" min="4" max="4" width="20.75"/>
    <col customWidth="1" min="5" max="5" width="12.63"/>
    <col customWidth="1" min="6" max="6" width="14.38"/>
    <col customWidth="1" min="7" max="7" width="14.0"/>
    <col customWidth="1" min="8" max="8" width="15.63"/>
    <col customWidth="1" min="9" max="9" width="12.25"/>
    <col customWidth="1" min="10" max="10" width="16.13"/>
    <col customWidth="1" min="11" max="11" width="19.5"/>
    <col customWidth="1" min="12" max="12" width="16.13"/>
    <col customWidth="1" min="13" max="13" width="21.13"/>
    <col customWidth="1" min="14" max="15" width="29.63"/>
    <col customWidth="1" min="16" max="16" width="30.0"/>
    <col customWidth="1" min="17" max="17" width="19.75"/>
    <col customWidth="1" min="18" max="19" width="13.0"/>
    <col customWidth="1" min="20" max="20" width="24.63"/>
    <col customWidth="1" min="21" max="28" width="8.63"/>
  </cols>
  <sheetData>
    <row r="1" ht="14.2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ht="133.5" customHeight="1">
      <c r="A2" s="8" t="s">
        <v>20</v>
      </c>
      <c r="B2" s="10" t="str">
        <f t="shared" ref="B2:B37" si="1">CONCATENATE("MPLB-PC-00",RIGHT(A2,LEN(A2) - (FIND(" ",A2))),"-26")</f>
        <v>MPLB-PC-001-26</v>
      </c>
      <c r="C2" s="11" t="s">
        <v>21</v>
      </c>
      <c r="D2" s="12" t="s">
        <v>22</v>
      </c>
      <c r="E2" s="8" t="s">
        <v>23</v>
      </c>
      <c r="F2" s="8" t="s">
        <v>25</v>
      </c>
      <c r="G2" s="12" t="s">
        <v>26</v>
      </c>
      <c r="H2" s="12" t="s">
        <v>28</v>
      </c>
      <c r="I2" s="12" t="s">
        <v>28</v>
      </c>
      <c r="J2" s="8" t="s">
        <v>30</v>
      </c>
      <c r="K2" s="12" t="s">
        <v>31</v>
      </c>
      <c r="L2" s="15" t="s">
        <v>32</v>
      </c>
      <c r="M2" s="12" t="s">
        <v>33</v>
      </c>
      <c r="N2" s="16"/>
      <c r="O2" s="16"/>
      <c r="P2" s="16"/>
      <c r="Q2" s="16"/>
      <c r="R2" s="16"/>
      <c r="S2" s="16"/>
      <c r="T2" s="17" t="str">
        <f t="shared" ref="T2:T37" si="2">IMAGE("https://quickchart.io/qr?text="&amp;ENCODEURL("https://script.google.com/macros/s/AKfycbwQpzkxOCRP3NYqoeT2iICUn44Z1fFWd3SGrCOmIeLE-uz8Fxp4eBwg-OJKyc6xQgcnDA/exec?id="&amp;B2))</f>
        <v/>
      </c>
    </row>
    <row r="3" ht="133.5" customHeight="1">
      <c r="A3" s="13" t="s">
        <v>40</v>
      </c>
      <c r="B3" s="18" t="str">
        <f t="shared" si="1"/>
        <v>MPLB-PC-002-26</v>
      </c>
      <c r="C3" s="18" t="s">
        <v>41</v>
      </c>
      <c r="D3" s="19" t="s">
        <v>22</v>
      </c>
      <c r="E3" s="19" t="s">
        <v>42</v>
      </c>
      <c r="F3" s="19" t="s">
        <v>43</v>
      </c>
      <c r="G3" s="19" t="s">
        <v>26</v>
      </c>
      <c r="H3" s="19" t="s">
        <v>28</v>
      </c>
      <c r="I3" s="19" t="s">
        <v>28</v>
      </c>
      <c r="J3" s="19" t="s">
        <v>44</v>
      </c>
      <c r="K3" s="19" t="s">
        <v>31</v>
      </c>
      <c r="L3" s="19" t="s">
        <v>36</v>
      </c>
      <c r="M3" s="19" t="s">
        <v>33</v>
      </c>
      <c r="N3" s="16"/>
      <c r="O3" s="16"/>
      <c r="P3" s="16"/>
      <c r="Q3" s="16"/>
      <c r="R3" s="16"/>
      <c r="S3" s="16"/>
      <c r="T3" s="17" t="str">
        <f t="shared" si="2"/>
        <v/>
      </c>
    </row>
    <row r="4" ht="133.5" customHeight="1">
      <c r="A4" s="8" t="s">
        <v>45</v>
      </c>
      <c r="B4" s="10" t="str">
        <f t="shared" si="1"/>
        <v>MPLB-PC-003-26</v>
      </c>
      <c r="C4" s="11" t="s">
        <v>47</v>
      </c>
      <c r="D4" s="12" t="s">
        <v>22</v>
      </c>
      <c r="E4" s="8" t="s">
        <v>48</v>
      </c>
      <c r="F4" s="8" t="s">
        <v>29</v>
      </c>
      <c r="G4" s="12" t="s">
        <v>49</v>
      </c>
      <c r="H4" s="12" t="s">
        <v>28</v>
      </c>
      <c r="I4" s="12" t="s">
        <v>28</v>
      </c>
      <c r="J4" s="8" t="s">
        <v>50</v>
      </c>
      <c r="K4" s="12" t="s">
        <v>31</v>
      </c>
      <c r="L4" s="12" t="s">
        <v>51</v>
      </c>
      <c r="M4" s="12" t="s">
        <v>33</v>
      </c>
      <c r="N4" s="16"/>
      <c r="O4" s="16"/>
      <c r="P4" s="16"/>
      <c r="Q4" s="16"/>
      <c r="R4" s="16"/>
      <c r="S4" s="16"/>
      <c r="T4" s="17" t="str">
        <f t="shared" si="2"/>
        <v/>
      </c>
    </row>
    <row r="5" ht="133.5" customHeight="1">
      <c r="A5" s="8" t="s">
        <v>54</v>
      </c>
      <c r="B5" s="11" t="str">
        <f t="shared" si="1"/>
        <v>MPLB-PC-004-26</v>
      </c>
      <c r="C5" s="11" t="s">
        <v>21</v>
      </c>
      <c r="D5" s="12" t="s">
        <v>22</v>
      </c>
      <c r="E5" s="8" t="s">
        <v>48</v>
      </c>
      <c r="F5" s="8" t="s">
        <v>29</v>
      </c>
      <c r="G5" s="12" t="s">
        <v>49</v>
      </c>
      <c r="H5" s="12" t="s">
        <v>28</v>
      </c>
      <c r="I5" s="12" t="s">
        <v>28</v>
      </c>
      <c r="J5" s="12" t="s">
        <v>44</v>
      </c>
      <c r="K5" s="12" t="s">
        <v>31</v>
      </c>
      <c r="L5" s="8" t="s">
        <v>59</v>
      </c>
      <c r="M5" s="12" t="s">
        <v>33</v>
      </c>
      <c r="N5" s="16"/>
      <c r="O5" s="16"/>
      <c r="P5" s="16"/>
      <c r="Q5" s="16"/>
      <c r="R5" s="16"/>
      <c r="S5" s="16"/>
      <c r="T5" s="17" t="str">
        <f t="shared" si="2"/>
        <v/>
      </c>
    </row>
    <row r="6" ht="133.5" customHeight="1">
      <c r="A6" s="13" t="s">
        <v>60</v>
      </c>
      <c r="B6" s="18" t="str">
        <f t="shared" si="1"/>
        <v>MPLB-PC-005-26</v>
      </c>
      <c r="C6" s="18" t="s">
        <v>61</v>
      </c>
      <c r="D6" s="19" t="s">
        <v>62</v>
      </c>
      <c r="E6" s="19" t="s">
        <v>55</v>
      </c>
      <c r="F6" s="19" t="s">
        <v>43</v>
      </c>
      <c r="G6" s="19" t="s">
        <v>26</v>
      </c>
      <c r="H6" s="19" t="s">
        <v>28</v>
      </c>
      <c r="I6" s="19" t="s">
        <v>28</v>
      </c>
      <c r="J6" s="23" t="s">
        <v>44</v>
      </c>
      <c r="K6" s="19" t="s">
        <v>67</v>
      </c>
      <c r="L6" s="24" t="s">
        <v>36</v>
      </c>
      <c r="M6" s="19" t="s">
        <v>33</v>
      </c>
      <c r="N6" s="16"/>
      <c r="O6" s="16"/>
      <c r="P6" s="16"/>
      <c r="Q6" s="16"/>
      <c r="R6" s="16"/>
      <c r="S6" s="16"/>
      <c r="T6" s="17" t="str">
        <f t="shared" si="2"/>
        <v/>
      </c>
    </row>
    <row r="7" ht="133.5" customHeight="1">
      <c r="A7" s="13" t="s">
        <v>68</v>
      </c>
      <c r="B7" s="18" t="str">
        <f t="shared" si="1"/>
        <v>MPLB-PC-006-26</v>
      </c>
      <c r="C7" s="18" t="s">
        <v>69</v>
      </c>
      <c r="D7" s="19" t="s">
        <v>62</v>
      </c>
      <c r="E7" s="19" t="s">
        <v>55</v>
      </c>
      <c r="F7" s="19" t="s">
        <v>43</v>
      </c>
      <c r="G7" s="19" t="s">
        <v>26</v>
      </c>
      <c r="H7" s="19" t="s">
        <v>28</v>
      </c>
      <c r="I7" s="19" t="s">
        <v>28</v>
      </c>
      <c r="J7" s="23" t="s">
        <v>70</v>
      </c>
      <c r="K7" s="19" t="s">
        <v>31</v>
      </c>
      <c r="L7" s="24" t="s">
        <v>36</v>
      </c>
      <c r="M7" s="19" t="s">
        <v>33</v>
      </c>
      <c r="N7" s="16"/>
      <c r="O7" s="16"/>
      <c r="P7" s="16"/>
      <c r="Q7" s="16"/>
      <c r="R7" s="16"/>
      <c r="S7" s="16"/>
      <c r="T7" s="17" t="str">
        <f t="shared" si="2"/>
        <v/>
      </c>
    </row>
    <row r="8" ht="133.5" customHeight="1">
      <c r="A8" s="13" t="s">
        <v>73</v>
      </c>
      <c r="B8" s="18" t="str">
        <f t="shared" si="1"/>
        <v>MPLB-PC-007-26</v>
      </c>
      <c r="C8" s="18" t="s">
        <v>74</v>
      </c>
      <c r="D8" s="19" t="s">
        <v>62</v>
      </c>
      <c r="E8" s="19" t="s">
        <v>55</v>
      </c>
      <c r="F8" s="19" t="s">
        <v>43</v>
      </c>
      <c r="G8" s="19" t="s">
        <v>26</v>
      </c>
      <c r="H8" s="19" t="s">
        <v>28</v>
      </c>
      <c r="I8" s="19" t="s">
        <v>28</v>
      </c>
      <c r="J8" s="23" t="s">
        <v>70</v>
      </c>
      <c r="K8" s="19" t="s">
        <v>31</v>
      </c>
      <c r="L8" s="24" t="s">
        <v>36</v>
      </c>
      <c r="M8" s="19" t="s">
        <v>33</v>
      </c>
      <c r="N8" s="16"/>
      <c r="O8" s="16"/>
      <c r="P8" s="16"/>
      <c r="Q8" s="16"/>
      <c r="R8" s="16"/>
      <c r="S8" s="16"/>
      <c r="T8" s="17" t="str">
        <f t="shared" si="2"/>
        <v/>
      </c>
    </row>
    <row r="9" ht="133.5" customHeight="1">
      <c r="A9" s="8" t="s">
        <v>78</v>
      </c>
      <c r="B9" s="10" t="str">
        <f t="shared" si="1"/>
        <v>MPLB-PC-008-26</v>
      </c>
      <c r="C9" s="11" t="s">
        <v>21</v>
      </c>
      <c r="D9" s="12" t="s">
        <v>62</v>
      </c>
      <c r="E9" s="8" t="s">
        <v>48</v>
      </c>
      <c r="F9" s="8" t="s">
        <v>29</v>
      </c>
      <c r="G9" s="12" t="s">
        <v>26</v>
      </c>
      <c r="H9" s="12" t="s">
        <v>28</v>
      </c>
      <c r="I9" s="12" t="s">
        <v>28</v>
      </c>
      <c r="J9" s="25" t="s">
        <v>50</v>
      </c>
      <c r="K9" s="12" t="s">
        <v>31</v>
      </c>
      <c r="L9" s="26" t="s">
        <v>81</v>
      </c>
      <c r="M9" s="12" t="s">
        <v>33</v>
      </c>
      <c r="N9" s="16"/>
      <c r="O9" s="16"/>
      <c r="P9" s="16"/>
      <c r="Q9" s="16"/>
      <c r="R9" s="16"/>
      <c r="S9" s="16"/>
      <c r="T9" s="17" t="str">
        <f t="shared" si="2"/>
        <v/>
      </c>
    </row>
    <row r="10" ht="133.5" customHeight="1">
      <c r="A10" s="13" t="s">
        <v>82</v>
      </c>
      <c r="B10" s="18" t="str">
        <f t="shared" si="1"/>
        <v>MPLB-PC-009-26</v>
      </c>
      <c r="C10" s="18" t="s">
        <v>83</v>
      </c>
      <c r="D10" s="19" t="s">
        <v>62</v>
      </c>
      <c r="E10" s="19" t="s">
        <v>55</v>
      </c>
      <c r="F10" s="19" t="s">
        <v>43</v>
      </c>
      <c r="G10" s="19" t="s">
        <v>26</v>
      </c>
      <c r="H10" s="19" t="s">
        <v>28</v>
      </c>
      <c r="I10" s="19" t="s">
        <v>28</v>
      </c>
      <c r="J10" s="23" t="s">
        <v>44</v>
      </c>
      <c r="K10" s="19" t="s">
        <v>31</v>
      </c>
      <c r="L10" s="24" t="s">
        <v>36</v>
      </c>
      <c r="M10" s="19" t="s">
        <v>33</v>
      </c>
      <c r="N10" s="16"/>
      <c r="O10" s="16"/>
      <c r="P10" s="16"/>
      <c r="Q10" s="16"/>
      <c r="R10" s="16"/>
      <c r="S10" s="16"/>
      <c r="T10" s="17" t="str">
        <f t="shared" si="2"/>
        <v/>
      </c>
    </row>
    <row r="11" ht="133.5" customHeight="1">
      <c r="A11" s="13" t="s">
        <v>89</v>
      </c>
      <c r="B11" s="18" t="str">
        <f t="shared" si="1"/>
        <v>MPLB-PC-0010-26</v>
      </c>
      <c r="C11" s="18" t="s">
        <v>90</v>
      </c>
      <c r="D11" s="19" t="s">
        <v>62</v>
      </c>
      <c r="E11" s="19" t="s">
        <v>55</v>
      </c>
      <c r="F11" s="19" t="s">
        <v>43</v>
      </c>
      <c r="G11" s="19" t="s">
        <v>26</v>
      </c>
      <c r="H11" s="19" t="s">
        <v>28</v>
      </c>
      <c r="I11" s="19" t="s">
        <v>28</v>
      </c>
      <c r="J11" s="23" t="s">
        <v>44</v>
      </c>
      <c r="K11" s="19" t="s">
        <v>31</v>
      </c>
      <c r="L11" s="24" t="s">
        <v>36</v>
      </c>
      <c r="M11" s="19" t="s">
        <v>33</v>
      </c>
      <c r="N11" s="16"/>
      <c r="O11" s="16"/>
      <c r="P11" s="16"/>
      <c r="Q11" s="16"/>
      <c r="R11" s="16"/>
      <c r="S11" s="16"/>
      <c r="T11" s="17" t="str">
        <f t="shared" si="2"/>
        <v/>
      </c>
    </row>
    <row r="12" ht="133.5" customHeight="1">
      <c r="A12" s="13" t="s">
        <v>91</v>
      </c>
      <c r="B12" s="18" t="str">
        <f t="shared" si="1"/>
        <v>MPLB-PC-0011-26</v>
      </c>
      <c r="C12" s="18" t="s">
        <v>92</v>
      </c>
      <c r="D12" s="19" t="s">
        <v>62</v>
      </c>
      <c r="E12" s="19" t="s">
        <v>55</v>
      </c>
      <c r="F12" s="19" t="s">
        <v>43</v>
      </c>
      <c r="G12" s="19" t="s">
        <v>26</v>
      </c>
      <c r="H12" s="19" t="s">
        <v>28</v>
      </c>
      <c r="I12" s="19" t="s">
        <v>28</v>
      </c>
      <c r="J12" s="23" t="s">
        <v>70</v>
      </c>
      <c r="K12" s="19" t="s">
        <v>31</v>
      </c>
      <c r="L12" s="24" t="s">
        <v>36</v>
      </c>
      <c r="M12" s="19" t="s">
        <v>33</v>
      </c>
      <c r="N12" s="16"/>
      <c r="O12" s="16"/>
      <c r="P12" s="16"/>
      <c r="Q12" s="16"/>
      <c r="R12" s="16"/>
      <c r="S12" s="16"/>
      <c r="T12" s="17" t="str">
        <f t="shared" si="2"/>
        <v/>
      </c>
    </row>
    <row r="13" ht="133.5" customHeight="1">
      <c r="A13" s="13" t="s">
        <v>93</v>
      </c>
      <c r="B13" s="18" t="str">
        <f t="shared" si="1"/>
        <v>MPLB-PC-0012-26</v>
      </c>
      <c r="C13" s="18" t="s">
        <v>94</v>
      </c>
      <c r="D13" s="19" t="s">
        <v>62</v>
      </c>
      <c r="E13" s="19" t="s">
        <v>55</v>
      </c>
      <c r="F13" s="19" t="s">
        <v>43</v>
      </c>
      <c r="G13" s="19" t="s">
        <v>26</v>
      </c>
      <c r="H13" s="19" t="s">
        <v>28</v>
      </c>
      <c r="I13" s="19" t="s">
        <v>28</v>
      </c>
      <c r="J13" s="23" t="s">
        <v>70</v>
      </c>
      <c r="K13" s="19" t="s">
        <v>31</v>
      </c>
      <c r="L13" s="24" t="s">
        <v>36</v>
      </c>
      <c r="M13" s="19" t="s">
        <v>33</v>
      </c>
      <c r="N13" s="16"/>
      <c r="O13" s="16"/>
      <c r="P13" s="16"/>
      <c r="Q13" s="16"/>
      <c r="R13" s="16"/>
      <c r="S13" s="16"/>
      <c r="T13" s="17" t="str">
        <f t="shared" si="2"/>
        <v/>
      </c>
    </row>
    <row r="14" ht="133.5" customHeight="1">
      <c r="A14" s="13" t="s">
        <v>99</v>
      </c>
      <c r="B14" s="18" t="str">
        <f t="shared" si="1"/>
        <v>MPLB-PC-0013-26</v>
      </c>
      <c r="C14" s="18" t="s">
        <v>100</v>
      </c>
      <c r="D14" s="19" t="s">
        <v>62</v>
      </c>
      <c r="E14" s="19" t="s">
        <v>55</v>
      </c>
      <c r="F14" s="19" t="s">
        <v>43</v>
      </c>
      <c r="G14" s="19" t="s">
        <v>26</v>
      </c>
      <c r="H14" s="19" t="s">
        <v>28</v>
      </c>
      <c r="I14" s="19" t="s">
        <v>28</v>
      </c>
      <c r="J14" s="23" t="s">
        <v>70</v>
      </c>
      <c r="K14" s="19" t="s">
        <v>31</v>
      </c>
      <c r="L14" s="24" t="s">
        <v>36</v>
      </c>
      <c r="M14" s="19" t="s">
        <v>33</v>
      </c>
      <c r="N14" s="16"/>
      <c r="O14" s="16"/>
      <c r="P14" s="16"/>
      <c r="Q14" s="16"/>
      <c r="R14" s="16"/>
      <c r="S14" s="16"/>
      <c r="T14" s="17" t="str">
        <f t="shared" si="2"/>
        <v/>
      </c>
    </row>
    <row r="15" ht="133.5" customHeight="1">
      <c r="A15" s="13" t="s">
        <v>102</v>
      </c>
      <c r="B15" s="18" t="str">
        <f t="shared" si="1"/>
        <v>MPLB-PC-0014-26</v>
      </c>
      <c r="C15" s="18" t="s">
        <v>103</v>
      </c>
      <c r="D15" s="19" t="s">
        <v>62</v>
      </c>
      <c r="E15" s="19" t="s">
        <v>55</v>
      </c>
      <c r="F15" s="19" t="s">
        <v>43</v>
      </c>
      <c r="G15" s="19" t="s">
        <v>26</v>
      </c>
      <c r="H15" s="19" t="s">
        <v>28</v>
      </c>
      <c r="I15" s="19" t="s">
        <v>28</v>
      </c>
      <c r="J15" s="23" t="s">
        <v>70</v>
      </c>
      <c r="K15" s="19" t="s">
        <v>31</v>
      </c>
      <c r="L15" s="24" t="s">
        <v>36</v>
      </c>
      <c r="M15" s="19" t="s">
        <v>33</v>
      </c>
      <c r="N15" s="16"/>
      <c r="O15" s="16"/>
      <c r="P15" s="16"/>
      <c r="Q15" s="16"/>
      <c r="R15" s="16"/>
      <c r="S15" s="16"/>
      <c r="T15" s="17" t="str">
        <f t="shared" si="2"/>
        <v/>
      </c>
    </row>
    <row r="16" ht="133.5" customHeight="1">
      <c r="A16" s="13" t="s">
        <v>106</v>
      </c>
      <c r="B16" s="18" t="str">
        <f t="shared" si="1"/>
        <v>MPLB-PC-0015-26</v>
      </c>
      <c r="C16" s="18" t="s">
        <v>107</v>
      </c>
      <c r="D16" s="19" t="s">
        <v>62</v>
      </c>
      <c r="E16" s="19" t="s">
        <v>55</v>
      </c>
      <c r="F16" s="19" t="s">
        <v>43</v>
      </c>
      <c r="G16" s="19" t="s">
        <v>26</v>
      </c>
      <c r="H16" s="19" t="s">
        <v>28</v>
      </c>
      <c r="I16" s="19" t="s">
        <v>28</v>
      </c>
      <c r="J16" s="23"/>
      <c r="K16" s="19" t="s">
        <v>31</v>
      </c>
      <c r="L16" s="24" t="s">
        <v>36</v>
      </c>
      <c r="M16" s="19" t="s">
        <v>33</v>
      </c>
      <c r="N16" s="16"/>
      <c r="O16" s="16"/>
      <c r="P16" s="16"/>
      <c r="Q16" s="16"/>
      <c r="R16" s="16"/>
      <c r="S16" s="16"/>
      <c r="T16" s="17" t="str">
        <f t="shared" si="2"/>
        <v/>
      </c>
    </row>
    <row r="17" ht="133.5" customHeight="1">
      <c r="A17" s="13" t="s">
        <v>109</v>
      </c>
      <c r="B17" s="18" t="str">
        <f t="shared" si="1"/>
        <v>MPLB-PC-0016-26</v>
      </c>
      <c r="C17" s="18" t="s">
        <v>110</v>
      </c>
      <c r="D17" s="19" t="s">
        <v>62</v>
      </c>
      <c r="E17" s="19" t="s">
        <v>55</v>
      </c>
      <c r="F17" s="19" t="s">
        <v>43</v>
      </c>
      <c r="G17" s="19" t="s">
        <v>26</v>
      </c>
      <c r="H17" s="19" t="s">
        <v>28</v>
      </c>
      <c r="I17" s="19" t="s">
        <v>28</v>
      </c>
      <c r="J17" s="23" t="s">
        <v>70</v>
      </c>
      <c r="K17" s="19" t="s">
        <v>31</v>
      </c>
      <c r="L17" s="24" t="s">
        <v>36</v>
      </c>
      <c r="M17" s="19" t="s">
        <v>33</v>
      </c>
      <c r="N17" s="16"/>
      <c r="O17" s="16"/>
      <c r="P17" s="16"/>
      <c r="Q17" s="16"/>
      <c r="R17" s="16"/>
      <c r="S17" s="16"/>
      <c r="T17" s="17" t="str">
        <f t="shared" si="2"/>
        <v/>
      </c>
    </row>
    <row r="18" ht="133.5" customHeight="1">
      <c r="A18" s="13" t="s">
        <v>113</v>
      </c>
      <c r="B18" s="18" t="str">
        <f t="shared" si="1"/>
        <v>MPLB-PC-0017-26</v>
      </c>
      <c r="C18" s="18" t="s">
        <v>115</v>
      </c>
      <c r="D18" s="19" t="s">
        <v>62</v>
      </c>
      <c r="E18" s="19" t="s">
        <v>55</v>
      </c>
      <c r="F18" s="19" t="s">
        <v>43</v>
      </c>
      <c r="G18" s="19" t="s">
        <v>26</v>
      </c>
      <c r="H18" s="19" t="s">
        <v>28</v>
      </c>
      <c r="I18" s="19" t="s">
        <v>28</v>
      </c>
      <c r="J18" s="23" t="s">
        <v>70</v>
      </c>
      <c r="K18" s="19" t="s">
        <v>31</v>
      </c>
      <c r="L18" s="24" t="s">
        <v>36</v>
      </c>
      <c r="M18" s="19" t="s">
        <v>33</v>
      </c>
      <c r="N18" s="16"/>
      <c r="O18" s="16"/>
      <c r="P18" s="16"/>
      <c r="Q18" s="16"/>
      <c r="R18" s="16"/>
      <c r="S18" s="16"/>
      <c r="T18" s="17" t="str">
        <f t="shared" si="2"/>
        <v/>
      </c>
    </row>
    <row r="19" ht="133.5" customHeight="1">
      <c r="A19" s="13" t="s">
        <v>117</v>
      </c>
      <c r="B19" s="9" t="str">
        <f t="shared" si="1"/>
        <v>MPLB-PC-0018-26</v>
      </c>
      <c r="C19" s="18" t="s">
        <v>118</v>
      </c>
      <c r="D19" s="19" t="s">
        <v>62</v>
      </c>
      <c r="E19" s="19" t="s">
        <v>55</v>
      </c>
      <c r="F19" s="19" t="s">
        <v>43</v>
      </c>
      <c r="G19" s="19" t="s">
        <v>26</v>
      </c>
      <c r="H19" s="19" t="s">
        <v>28</v>
      </c>
      <c r="I19" s="19" t="s">
        <v>28</v>
      </c>
      <c r="J19" s="23" t="s">
        <v>70</v>
      </c>
      <c r="K19" s="19" t="s">
        <v>31</v>
      </c>
      <c r="L19" s="24" t="s">
        <v>36</v>
      </c>
      <c r="M19" s="19" t="s">
        <v>33</v>
      </c>
      <c r="N19" s="16"/>
      <c r="O19" s="16"/>
      <c r="P19" s="16"/>
      <c r="Q19" s="16"/>
      <c r="R19" s="16"/>
      <c r="S19" s="16"/>
      <c r="T19" s="17" t="str">
        <f t="shared" si="2"/>
        <v/>
      </c>
    </row>
    <row r="20" ht="133.5" customHeight="1">
      <c r="A20" s="13" t="s">
        <v>124</v>
      </c>
      <c r="B20" s="9" t="str">
        <f t="shared" si="1"/>
        <v>MPLB-PC-0019-26</v>
      </c>
      <c r="C20" s="18" t="s">
        <v>115</v>
      </c>
      <c r="D20" s="19" t="s">
        <v>62</v>
      </c>
      <c r="E20" s="19" t="s">
        <v>55</v>
      </c>
      <c r="F20" s="19" t="s">
        <v>43</v>
      </c>
      <c r="G20" s="19" t="s">
        <v>26</v>
      </c>
      <c r="H20" s="19" t="s">
        <v>28</v>
      </c>
      <c r="I20" s="19" t="s">
        <v>28</v>
      </c>
      <c r="J20" s="23" t="s">
        <v>70</v>
      </c>
      <c r="K20" s="19" t="s">
        <v>31</v>
      </c>
      <c r="L20" s="24" t="s">
        <v>36</v>
      </c>
      <c r="M20" s="19" t="s">
        <v>33</v>
      </c>
      <c r="N20" s="16"/>
      <c r="O20" s="16"/>
      <c r="P20" s="16"/>
      <c r="Q20" s="16"/>
      <c r="R20" s="16"/>
      <c r="S20" s="16"/>
      <c r="T20" s="17" t="str">
        <f t="shared" si="2"/>
        <v/>
      </c>
    </row>
    <row r="21" ht="133.5" customHeight="1">
      <c r="A21" s="13" t="s">
        <v>126</v>
      </c>
      <c r="B21" s="18" t="str">
        <f t="shared" si="1"/>
        <v>MPLB-PC-0020-26</v>
      </c>
      <c r="C21" s="18" t="s">
        <v>127</v>
      </c>
      <c r="D21" s="19" t="s">
        <v>62</v>
      </c>
      <c r="E21" s="19" t="s">
        <v>55</v>
      </c>
      <c r="F21" s="19" t="s">
        <v>43</v>
      </c>
      <c r="G21" s="19" t="s">
        <v>26</v>
      </c>
      <c r="H21" s="19" t="s">
        <v>28</v>
      </c>
      <c r="I21" s="19" t="s">
        <v>28</v>
      </c>
      <c r="J21" s="23" t="s">
        <v>70</v>
      </c>
      <c r="K21" s="19" t="s">
        <v>31</v>
      </c>
      <c r="L21" s="24" t="s">
        <v>36</v>
      </c>
      <c r="M21" s="19" t="s">
        <v>33</v>
      </c>
      <c r="N21" s="16"/>
      <c r="O21" s="16"/>
      <c r="P21" s="16"/>
      <c r="Q21" s="16"/>
      <c r="R21" s="16"/>
      <c r="S21" s="16"/>
      <c r="T21" s="17" t="str">
        <f t="shared" si="2"/>
        <v/>
      </c>
    </row>
    <row r="22" ht="133.5" customHeight="1">
      <c r="A22" s="13" t="s">
        <v>129</v>
      </c>
      <c r="B22" s="18" t="str">
        <f t="shared" si="1"/>
        <v>MPLB-PC-0021-26</v>
      </c>
      <c r="C22" s="18" t="s">
        <v>131</v>
      </c>
      <c r="D22" s="19" t="s">
        <v>62</v>
      </c>
      <c r="E22" s="19" t="s">
        <v>55</v>
      </c>
      <c r="F22" s="19" t="s">
        <v>43</v>
      </c>
      <c r="G22" s="19" t="s">
        <v>26</v>
      </c>
      <c r="H22" s="19" t="s">
        <v>28</v>
      </c>
      <c r="I22" s="19" t="s">
        <v>28</v>
      </c>
      <c r="J22" s="23" t="s">
        <v>70</v>
      </c>
      <c r="K22" s="19" t="s">
        <v>31</v>
      </c>
      <c r="L22" s="24" t="s">
        <v>36</v>
      </c>
      <c r="M22" s="19" t="s">
        <v>33</v>
      </c>
      <c r="N22" s="16"/>
      <c r="O22" s="16"/>
      <c r="P22" s="16"/>
      <c r="Q22" s="16"/>
      <c r="R22" s="16"/>
      <c r="S22" s="16"/>
      <c r="T22" s="17" t="str">
        <f t="shared" si="2"/>
        <v/>
      </c>
    </row>
    <row r="23" ht="133.5" customHeight="1">
      <c r="A23" s="13" t="s">
        <v>136</v>
      </c>
      <c r="B23" s="18" t="str">
        <f t="shared" si="1"/>
        <v>MPLB-PC-0022-26</v>
      </c>
      <c r="C23" s="9" t="s">
        <v>137</v>
      </c>
      <c r="D23" s="19" t="s">
        <v>62</v>
      </c>
      <c r="E23" s="13" t="s">
        <v>48</v>
      </c>
      <c r="F23" s="13" t="s">
        <v>29</v>
      </c>
      <c r="G23" s="19" t="s">
        <v>26</v>
      </c>
      <c r="H23" s="19" t="s">
        <v>28</v>
      </c>
      <c r="I23" s="19" t="s">
        <v>28</v>
      </c>
      <c r="J23" s="29" t="s">
        <v>30</v>
      </c>
      <c r="K23" s="19" t="s">
        <v>31</v>
      </c>
      <c r="L23" s="30" t="s">
        <v>36</v>
      </c>
      <c r="M23" s="19" t="s">
        <v>33</v>
      </c>
      <c r="N23" s="16"/>
      <c r="O23" s="16"/>
      <c r="P23" s="16"/>
      <c r="Q23" s="16"/>
      <c r="R23" s="16"/>
      <c r="S23" s="16"/>
      <c r="T23" s="17" t="str">
        <f t="shared" si="2"/>
        <v/>
      </c>
    </row>
    <row r="24" ht="133.5" customHeight="1">
      <c r="A24" s="13" t="s">
        <v>140</v>
      </c>
      <c r="B24" s="18" t="str">
        <f t="shared" si="1"/>
        <v>MPLB-PC-0023-26</v>
      </c>
      <c r="C24" s="9" t="s">
        <v>141</v>
      </c>
      <c r="D24" s="13" t="s">
        <v>142</v>
      </c>
      <c r="E24" s="13" t="s">
        <v>23</v>
      </c>
      <c r="F24" s="13" t="s">
        <v>25</v>
      </c>
      <c r="G24" s="19" t="s">
        <v>26</v>
      </c>
      <c r="H24" s="19" t="s">
        <v>28</v>
      </c>
      <c r="I24" s="19" t="s">
        <v>28</v>
      </c>
      <c r="J24" s="29" t="s">
        <v>30</v>
      </c>
      <c r="K24" s="19" t="s">
        <v>31</v>
      </c>
      <c r="L24" s="30" t="s">
        <v>36</v>
      </c>
      <c r="M24" s="13" t="s">
        <v>148</v>
      </c>
      <c r="N24" s="16"/>
      <c r="O24" s="16"/>
      <c r="P24" s="16"/>
      <c r="Q24" s="16"/>
      <c r="R24" s="16"/>
      <c r="S24" s="16"/>
      <c r="T24" s="17" t="str">
        <f t="shared" si="2"/>
        <v/>
      </c>
    </row>
    <row r="25" ht="133.5" customHeight="1">
      <c r="A25" s="13" t="s">
        <v>153</v>
      </c>
      <c r="B25" s="18" t="str">
        <f t="shared" si="1"/>
        <v>MPLB-PC-0024-26</v>
      </c>
      <c r="C25" s="18" t="s">
        <v>155</v>
      </c>
      <c r="D25" s="19" t="s">
        <v>142</v>
      </c>
      <c r="E25" s="19" t="s">
        <v>146</v>
      </c>
      <c r="F25" s="19" t="s">
        <v>156</v>
      </c>
      <c r="G25" s="19" t="s">
        <v>26</v>
      </c>
      <c r="H25" s="19" t="s">
        <v>28</v>
      </c>
      <c r="I25" s="19" t="s">
        <v>28</v>
      </c>
      <c r="J25" s="23" t="s">
        <v>70</v>
      </c>
      <c r="K25" s="19" t="s">
        <v>31</v>
      </c>
      <c r="L25" s="24" t="s">
        <v>36</v>
      </c>
      <c r="M25" s="19" t="s">
        <v>148</v>
      </c>
      <c r="N25" s="16"/>
      <c r="O25" s="16"/>
      <c r="P25" s="16"/>
      <c r="Q25" s="16"/>
      <c r="R25" s="16"/>
      <c r="S25" s="16"/>
      <c r="T25" s="17" t="str">
        <f t="shared" si="2"/>
        <v/>
      </c>
    </row>
    <row r="26" ht="133.5" customHeight="1">
      <c r="A26" s="13" t="s">
        <v>161</v>
      </c>
      <c r="B26" s="18" t="str">
        <f t="shared" si="1"/>
        <v>MPLB-PC-0025-26</v>
      </c>
      <c r="C26" s="18" t="s">
        <v>162</v>
      </c>
      <c r="D26" s="19" t="s">
        <v>142</v>
      </c>
      <c r="E26" s="19" t="s">
        <v>146</v>
      </c>
      <c r="F26" s="19" t="s">
        <v>156</v>
      </c>
      <c r="G26" s="19" t="s">
        <v>26</v>
      </c>
      <c r="H26" s="19" t="s">
        <v>28</v>
      </c>
      <c r="I26" s="19" t="s">
        <v>28</v>
      </c>
      <c r="J26" s="23" t="s">
        <v>70</v>
      </c>
      <c r="K26" s="19" t="s">
        <v>31</v>
      </c>
      <c r="L26" s="24" t="s">
        <v>36</v>
      </c>
      <c r="M26" s="19" t="s">
        <v>148</v>
      </c>
      <c r="N26" s="16"/>
      <c r="O26" s="16"/>
      <c r="P26" s="16"/>
      <c r="Q26" s="16"/>
      <c r="R26" s="16"/>
      <c r="S26" s="16"/>
      <c r="T26" s="17" t="str">
        <f t="shared" si="2"/>
        <v/>
      </c>
    </row>
    <row r="27" ht="133.5" customHeight="1">
      <c r="A27" s="13" t="s">
        <v>164</v>
      </c>
      <c r="B27" s="18" t="str">
        <f t="shared" si="1"/>
        <v>MPLB-PC-0026-26</v>
      </c>
      <c r="C27" s="18" t="s">
        <v>167</v>
      </c>
      <c r="D27" s="19" t="s">
        <v>142</v>
      </c>
      <c r="E27" s="19" t="s">
        <v>146</v>
      </c>
      <c r="F27" s="19" t="s">
        <v>156</v>
      </c>
      <c r="G27" s="19" t="s">
        <v>26</v>
      </c>
      <c r="H27" s="19" t="s">
        <v>28</v>
      </c>
      <c r="I27" s="19" t="s">
        <v>28</v>
      </c>
      <c r="J27" s="23" t="s">
        <v>70</v>
      </c>
      <c r="K27" s="19" t="s">
        <v>31</v>
      </c>
      <c r="L27" s="24" t="s">
        <v>36</v>
      </c>
      <c r="M27" s="19" t="s">
        <v>148</v>
      </c>
      <c r="N27" s="16"/>
      <c r="O27" s="16"/>
      <c r="P27" s="16"/>
      <c r="Q27" s="16"/>
      <c r="R27" s="16"/>
      <c r="S27" s="16"/>
      <c r="T27" s="17" t="str">
        <f t="shared" si="2"/>
        <v/>
      </c>
    </row>
    <row r="28" ht="133.5" customHeight="1">
      <c r="A28" s="13" t="s">
        <v>170</v>
      </c>
      <c r="B28" s="18" t="str">
        <f t="shared" si="1"/>
        <v>MPLB-PC-0027-26</v>
      </c>
      <c r="C28" s="18" t="s">
        <v>171</v>
      </c>
      <c r="D28" s="19" t="s">
        <v>142</v>
      </c>
      <c r="E28" s="19" t="s">
        <v>146</v>
      </c>
      <c r="F28" s="19" t="s">
        <v>156</v>
      </c>
      <c r="G28" s="19" t="s">
        <v>26</v>
      </c>
      <c r="H28" s="19" t="s">
        <v>28</v>
      </c>
      <c r="I28" s="19" t="s">
        <v>28</v>
      </c>
      <c r="J28" s="23" t="s">
        <v>70</v>
      </c>
      <c r="K28" s="19" t="s">
        <v>31</v>
      </c>
      <c r="L28" s="24" t="s">
        <v>36</v>
      </c>
      <c r="M28" s="19" t="s">
        <v>148</v>
      </c>
      <c r="N28" s="16"/>
      <c r="O28" s="16"/>
      <c r="P28" s="16"/>
      <c r="Q28" s="16"/>
      <c r="R28" s="16"/>
      <c r="S28" s="16"/>
      <c r="T28" s="17" t="str">
        <f t="shared" si="2"/>
        <v/>
      </c>
    </row>
    <row r="29" ht="133.5" customHeight="1">
      <c r="A29" s="13" t="s">
        <v>176</v>
      </c>
      <c r="B29" s="18" t="str">
        <f t="shared" si="1"/>
        <v>MPLB-PC-0028-26</v>
      </c>
      <c r="C29" s="18" t="s">
        <v>177</v>
      </c>
      <c r="D29" s="19" t="s">
        <v>62</v>
      </c>
      <c r="E29" s="19" t="s">
        <v>55</v>
      </c>
      <c r="F29" s="19" t="s">
        <v>43</v>
      </c>
      <c r="G29" s="19" t="s">
        <v>26</v>
      </c>
      <c r="H29" s="19" t="s">
        <v>28</v>
      </c>
      <c r="I29" s="19" t="s">
        <v>28</v>
      </c>
      <c r="J29" s="23" t="s">
        <v>70</v>
      </c>
      <c r="K29" s="19" t="s">
        <v>31</v>
      </c>
      <c r="L29" s="24" t="s">
        <v>36</v>
      </c>
      <c r="M29" s="19" t="s">
        <v>33</v>
      </c>
      <c r="N29" s="16"/>
      <c r="O29" s="16"/>
      <c r="P29" s="16"/>
      <c r="Q29" s="16"/>
      <c r="R29" s="16"/>
      <c r="S29" s="16"/>
      <c r="T29" s="17" t="str">
        <f t="shared" si="2"/>
        <v/>
      </c>
    </row>
    <row r="30" ht="133.5" customHeight="1">
      <c r="A30" s="13" t="s">
        <v>181</v>
      </c>
      <c r="B30" s="18" t="str">
        <f t="shared" si="1"/>
        <v>MPLB-PC-0029-26</v>
      </c>
      <c r="C30" s="18" t="s">
        <v>183</v>
      </c>
      <c r="D30" s="19" t="s">
        <v>62</v>
      </c>
      <c r="E30" s="19" t="s">
        <v>55</v>
      </c>
      <c r="F30" s="19" t="s">
        <v>43</v>
      </c>
      <c r="G30" s="19" t="s">
        <v>26</v>
      </c>
      <c r="H30" s="19" t="s">
        <v>28</v>
      </c>
      <c r="I30" s="19" t="s">
        <v>28</v>
      </c>
      <c r="J30" s="23" t="s">
        <v>70</v>
      </c>
      <c r="K30" s="19" t="s">
        <v>31</v>
      </c>
      <c r="L30" s="24" t="s">
        <v>36</v>
      </c>
      <c r="M30" s="19" t="s">
        <v>33</v>
      </c>
      <c r="N30" s="16"/>
      <c r="O30" s="16"/>
      <c r="P30" s="16"/>
      <c r="Q30" s="16"/>
      <c r="R30" s="16"/>
      <c r="S30" s="16"/>
      <c r="T30" s="17" t="str">
        <f t="shared" si="2"/>
        <v/>
      </c>
    </row>
    <row r="31" ht="133.5" customHeight="1">
      <c r="A31" s="13" t="s">
        <v>186</v>
      </c>
      <c r="B31" s="18" t="str">
        <f t="shared" si="1"/>
        <v>MPLB-PC-0030-26</v>
      </c>
      <c r="C31" s="18" t="s">
        <v>187</v>
      </c>
      <c r="D31" s="19" t="s">
        <v>62</v>
      </c>
      <c r="E31" s="19" t="s">
        <v>55</v>
      </c>
      <c r="F31" s="19" t="s">
        <v>43</v>
      </c>
      <c r="G31" s="19" t="s">
        <v>26</v>
      </c>
      <c r="H31" s="19" t="s">
        <v>28</v>
      </c>
      <c r="I31" s="19" t="s">
        <v>28</v>
      </c>
      <c r="J31" s="23" t="s">
        <v>70</v>
      </c>
      <c r="K31" s="19" t="s">
        <v>31</v>
      </c>
      <c r="L31" s="24" t="s">
        <v>36</v>
      </c>
      <c r="M31" s="19" t="s">
        <v>33</v>
      </c>
      <c r="N31" s="16"/>
      <c r="O31" s="16"/>
      <c r="P31" s="16"/>
      <c r="Q31" s="16"/>
      <c r="R31" s="16"/>
      <c r="S31" s="16"/>
      <c r="T31" s="17" t="str">
        <f t="shared" si="2"/>
        <v/>
      </c>
    </row>
    <row r="32" ht="133.5" customHeight="1">
      <c r="A32" s="13" t="s">
        <v>189</v>
      </c>
      <c r="B32" s="18" t="str">
        <f t="shared" si="1"/>
        <v>MPLB-PC-0031-26</v>
      </c>
      <c r="C32" s="18" t="s">
        <v>190</v>
      </c>
      <c r="D32" s="19" t="s">
        <v>62</v>
      </c>
      <c r="E32" s="19" t="s">
        <v>55</v>
      </c>
      <c r="F32" s="19" t="s">
        <v>43</v>
      </c>
      <c r="G32" s="19" t="s">
        <v>26</v>
      </c>
      <c r="H32" s="19" t="s">
        <v>28</v>
      </c>
      <c r="I32" s="19" t="s">
        <v>28</v>
      </c>
      <c r="J32" s="23" t="s">
        <v>70</v>
      </c>
      <c r="K32" s="19" t="s">
        <v>31</v>
      </c>
      <c r="L32" s="24" t="s">
        <v>36</v>
      </c>
      <c r="M32" s="19" t="s">
        <v>33</v>
      </c>
      <c r="N32" s="16"/>
      <c r="O32" s="16"/>
      <c r="P32" s="16"/>
      <c r="Q32" s="16"/>
      <c r="R32" s="16"/>
      <c r="S32" s="16"/>
      <c r="T32" s="17" t="str">
        <f t="shared" si="2"/>
        <v/>
      </c>
    </row>
    <row r="33" ht="133.5" customHeight="1">
      <c r="A33" s="13" t="s">
        <v>191</v>
      </c>
      <c r="B33" s="9" t="str">
        <f t="shared" si="1"/>
        <v>MPLB-PC-0032-26</v>
      </c>
      <c r="C33" s="18" t="s">
        <v>193</v>
      </c>
      <c r="D33" s="19" t="s">
        <v>62</v>
      </c>
      <c r="E33" s="19" t="s">
        <v>55</v>
      </c>
      <c r="F33" s="19" t="s">
        <v>43</v>
      </c>
      <c r="G33" s="19" t="s">
        <v>26</v>
      </c>
      <c r="H33" s="19" t="s">
        <v>28</v>
      </c>
      <c r="I33" s="19" t="s">
        <v>28</v>
      </c>
      <c r="J33" s="23" t="s">
        <v>70</v>
      </c>
      <c r="K33" s="19" t="s">
        <v>31</v>
      </c>
      <c r="L33" s="24" t="s">
        <v>36</v>
      </c>
      <c r="M33" s="19" t="s">
        <v>33</v>
      </c>
      <c r="N33" s="16"/>
      <c r="O33" s="16"/>
      <c r="P33" s="16"/>
      <c r="Q33" s="16"/>
      <c r="R33" s="16"/>
      <c r="S33" s="16"/>
      <c r="T33" s="17" t="str">
        <f t="shared" si="2"/>
        <v/>
      </c>
    </row>
    <row r="34" ht="133.5" customHeight="1">
      <c r="A34" s="13" t="s">
        <v>194</v>
      </c>
      <c r="B34" s="9" t="str">
        <f t="shared" si="1"/>
        <v>MPLB-PC-0033-26</v>
      </c>
      <c r="C34" s="18" t="s">
        <v>195</v>
      </c>
      <c r="D34" s="19" t="s">
        <v>62</v>
      </c>
      <c r="E34" s="19" t="s">
        <v>55</v>
      </c>
      <c r="F34" s="19" t="s">
        <v>43</v>
      </c>
      <c r="G34" s="19" t="s">
        <v>26</v>
      </c>
      <c r="H34" s="19" t="s">
        <v>28</v>
      </c>
      <c r="I34" s="19" t="s">
        <v>28</v>
      </c>
      <c r="J34" s="23" t="s">
        <v>70</v>
      </c>
      <c r="K34" s="19" t="s">
        <v>31</v>
      </c>
      <c r="L34" s="24" t="s">
        <v>36</v>
      </c>
      <c r="M34" s="19" t="s">
        <v>33</v>
      </c>
      <c r="N34" s="16"/>
      <c r="O34" s="16"/>
      <c r="P34" s="16"/>
      <c r="Q34" s="16"/>
      <c r="R34" s="16"/>
      <c r="S34" s="16"/>
      <c r="T34" s="17" t="str">
        <f t="shared" si="2"/>
        <v/>
      </c>
    </row>
    <row r="35" ht="133.5" customHeight="1">
      <c r="A35" s="13" t="s">
        <v>197</v>
      </c>
      <c r="B35" s="9" t="str">
        <f t="shared" si="1"/>
        <v>MPLB-PC-0034-26</v>
      </c>
      <c r="C35" s="18" t="s">
        <v>198</v>
      </c>
      <c r="D35" s="19" t="s">
        <v>62</v>
      </c>
      <c r="E35" s="19" t="s">
        <v>55</v>
      </c>
      <c r="F35" s="19" t="s">
        <v>43</v>
      </c>
      <c r="G35" s="19" t="s">
        <v>26</v>
      </c>
      <c r="H35" s="19" t="s">
        <v>28</v>
      </c>
      <c r="I35" s="19" t="s">
        <v>28</v>
      </c>
      <c r="J35" s="23" t="s">
        <v>70</v>
      </c>
      <c r="K35" s="19" t="s">
        <v>31</v>
      </c>
      <c r="L35" s="24" t="s">
        <v>36</v>
      </c>
      <c r="M35" s="19" t="s">
        <v>33</v>
      </c>
      <c r="N35" s="16"/>
      <c r="O35" s="16"/>
      <c r="P35" s="16"/>
      <c r="Q35" s="16"/>
      <c r="R35" s="16"/>
      <c r="S35" s="16"/>
      <c r="T35" s="17" t="str">
        <f t="shared" si="2"/>
        <v/>
      </c>
    </row>
    <row r="36" ht="133.5" customHeight="1">
      <c r="A36" s="13" t="s">
        <v>203</v>
      </c>
      <c r="B36" s="9" t="str">
        <f t="shared" si="1"/>
        <v>MPLB-PC-0035-26</v>
      </c>
      <c r="C36" s="18" t="s">
        <v>204</v>
      </c>
      <c r="D36" s="19" t="s">
        <v>62</v>
      </c>
      <c r="E36" s="19" t="s">
        <v>55</v>
      </c>
      <c r="F36" s="19" t="s">
        <v>43</v>
      </c>
      <c r="G36" s="19" t="s">
        <v>26</v>
      </c>
      <c r="H36" s="19" t="s">
        <v>28</v>
      </c>
      <c r="I36" s="19" t="s">
        <v>28</v>
      </c>
      <c r="J36" s="19" t="s">
        <v>44</v>
      </c>
      <c r="K36" s="19" t="s">
        <v>31</v>
      </c>
      <c r="L36" s="19" t="s">
        <v>36</v>
      </c>
      <c r="M36" s="19" t="s">
        <v>33</v>
      </c>
      <c r="N36" s="16"/>
      <c r="O36" s="16"/>
      <c r="P36" s="16"/>
      <c r="Q36" s="16"/>
      <c r="R36" s="16"/>
      <c r="S36" s="16"/>
      <c r="T36" s="17" t="str">
        <f t="shared" si="2"/>
        <v/>
      </c>
    </row>
    <row r="37" ht="133.5" customHeight="1">
      <c r="A37" s="8" t="s">
        <v>208</v>
      </c>
      <c r="B37" s="11" t="str">
        <f t="shared" si="1"/>
        <v>MPLB-PC-0036-26</v>
      </c>
      <c r="C37" s="11" t="s">
        <v>209</v>
      </c>
      <c r="D37" s="12" t="s">
        <v>22</v>
      </c>
      <c r="E37" s="8" t="s">
        <v>48</v>
      </c>
      <c r="F37" s="8" t="s">
        <v>29</v>
      </c>
      <c r="G37" s="12" t="s">
        <v>26</v>
      </c>
      <c r="H37" s="12" t="s">
        <v>28</v>
      </c>
      <c r="I37" s="12" t="s">
        <v>28</v>
      </c>
      <c r="J37" s="8" t="s">
        <v>50</v>
      </c>
      <c r="K37" s="12" t="s">
        <v>31</v>
      </c>
      <c r="L37" s="12" t="s">
        <v>51</v>
      </c>
      <c r="M37" s="8" t="s">
        <v>212</v>
      </c>
      <c r="N37" s="16"/>
      <c r="O37" s="16"/>
      <c r="P37" s="16"/>
      <c r="Q37" s="16"/>
      <c r="R37" s="16"/>
      <c r="S37" s="16"/>
      <c r="T37" s="17" t="str">
        <f t="shared" si="2"/>
        <v/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5" width="17.0"/>
  </cols>
  <sheetData>
    <row r="1" ht="101.25" customHeight="1">
      <c r="A1" s="2" t="str">
        <f t="array" ref="A1">IFERROR(INDEX(MPLB!$T:$T, (ROUNDUP(ROW()/2,0)-1)*5 + COLUMN() + 1), "")</f>
        <v/>
      </c>
      <c r="B1" s="2" t="str">
        <f t="array" ref="B1">IFERROR(INDEX(MPLB!$T:$T, (ROUNDUP(ROW()/2,0)-1)*5 + COLUMN() + 1), "")</f>
        <v/>
      </c>
      <c r="C1" s="2" t="str">
        <f t="array" ref="C1">IFERROR(INDEX(MPLB!$T:$T, (ROUNDUP(ROW()/2,0)-1)*5 + COLUMN() + 1), "")</f>
        <v/>
      </c>
      <c r="D1" s="2" t="str">
        <f t="array" ref="D1">IFERROR(INDEX(MPLB!$T:$T, (ROUNDUP(ROW()/2,0)-1)*5 + COLUMN() + 1), "")</f>
        <v/>
      </c>
      <c r="E1" s="2" t="str">
        <f t="array" ref="E1">IFERROR(INDEX(MPLB!$T:$T, (ROUNDUP(ROW()/2,0)-1)*5 + COLUMN() + 1), "")</f>
        <v/>
      </c>
    </row>
    <row r="2">
      <c r="A2" s="2" t="str">
        <f t="array" ref="A2">IFERROR(INDEX(MPLB!$B:$B, (ROW()/2-1)*5 + COLUMN() + 1), "")</f>
        <v>MPLB-PC-001-26</v>
      </c>
      <c r="B2" s="2" t="str">
        <f t="array" ref="B2">IFERROR(INDEX(MPLB!$B:$B, (ROW()/2-1)*5 + COLUMN() + 1), "")</f>
        <v>MPLB-PC-002-26</v>
      </c>
      <c r="C2" s="2" t="str">
        <f t="array" ref="C2">IFERROR(INDEX(MPLB!$B:$B, (ROW()/2-1)*5 + COLUMN() + 1), "")</f>
        <v>MPLB-PC-003-26</v>
      </c>
      <c r="D2" s="2" t="str">
        <f t="array" ref="D2">IFERROR(INDEX(MPLB!$B:$B, (ROW()/2-1)*5 + COLUMN() + 1), "")</f>
        <v>MPLB-PC-004-26</v>
      </c>
      <c r="E2" s="2" t="str">
        <f t="array" ref="E2">IFERROR(INDEX(MPLB!$B:$B, (ROW()/2-1)*5 + COLUMN() + 1), "")</f>
        <v>MPLB-PC-005-26</v>
      </c>
    </row>
    <row r="3" ht="101.25" customHeight="1">
      <c r="A3" s="2" t="str">
        <f t="array" ref="A3">IFERROR(INDEX(MPLB!$T:$T, (ROUNDUP(ROW()/2,0)-1)*5 + COLUMN() + 1), "")</f>
        <v/>
      </c>
      <c r="B3" s="2" t="str">
        <f t="array" ref="B3">IFERROR(INDEX(MPLB!$T:$T, (ROUNDUP(ROW()/2,0)-1)*5 + COLUMN() + 1), "")</f>
        <v/>
      </c>
      <c r="C3" s="2" t="str">
        <f t="array" ref="C3">IFERROR(INDEX(MPLB!$T:$T, (ROUNDUP(ROW()/2,0)-1)*5 + COLUMN() + 1), "")</f>
        <v/>
      </c>
      <c r="D3" s="2" t="str">
        <f t="array" ref="D3">IFERROR(INDEX(MPLB!$T:$T, (ROUNDUP(ROW()/2,0)-1)*5 + COLUMN() + 1), "")</f>
        <v/>
      </c>
      <c r="E3" s="2" t="str">
        <f t="array" ref="E3">IFERROR(INDEX(MPLB!$T:$T, (ROUNDUP(ROW()/2,0)-1)*5 + COLUMN() + 1), "")</f>
        <v/>
      </c>
    </row>
    <row r="4">
      <c r="A4" s="2" t="str">
        <f t="array" ref="A4">IFERROR(INDEX(MPLB!$B:$B, (ROW()/2-1)*5 + COLUMN() + 1), "")</f>
        <v>MPLB-PC-006-26</v>
      </c>
      <c r="B4" s="2" t="str">
        <f t="array" ref="B4">IFERROR(INDEX(MPLB!$B:$B, (ROW()/2-1)*5 + COLUMN() + 1), "")</f>
        <v>MPLB-PC-007-26</v>
      </c>
      <c r="C4" s="2" t="str">
        <f t="array" ref="C4">IFERROR(INDEX(MPLB!$B:$B, (ROW()/2-1)*5 + COLUMN() + 1), "")</f>
        <v>MPLB-PC-008-26</v>
      </c>
      <c r="D4" s="2" t="str">
        <f t="array" ref="D4">IFERROR(INDEX(MPLB!$B:$B, (ROW()/2-1)*5 + COLUMN() + 1), "")</f>
        <v>MPLB-PC-009-26</v>
      </c>
      <c r="E4" s="2" t="str">
        <f t="array" ref="E4">IFERROR(INDEX(MPLB!$B:$B, (ROW()/2-1)*5 + COLUMN() + 1), "")</f>
        <v>MPLB-PC-0010-26</v>
      </c>
    </row>
    <row r="5" ht="101.25" customHeight="1">
      <c r="A5" s="2" t="str">
        <f t="array" ref="A5">IFERROR(INDEX(MPLB!$T:$T, (ROUNDUP(ROW()/2,0)-1)*5 + COLUMN() + 1), "")</f>
        <v/>
      </c>
      <c r="B5" s="2" t="str">
        <f t="array" ref="B5">IFERROR(INDEX(MPLB!$T:$T, (ROUNDUP(ROW()/2,0)-1)*5 + COLUMN() + 1), "")</f>
        <v/>
      </c>
      <c r="C5" s="2" t="str">
        <f t="array" ref="C5">IFERROR(INDEX(MPLB!$T:$T, (ROUNDUP(ROW()/2,0)-1)*5 + COLUMN() + 1), "")</f>
        <v/>
      </c>
      <c r="D5" s="2" t="str">
        <f t="array" ref="D5">IFERROR(INDEX(MPLB!$T:$T, (ROUNDUP(ROW()/2,0)-1)*5 + COLUMN() + 1), "")</f>
        <v/>
      </c>
      <c r="E5" s="2" t="str">
        <f t="array" ref="E5">IFERROR(INDEX(MPLB!$T:$T, (ROUNDUP(ROW()/2,0)-1)*5 + COLUMN() + 1), "")</f>
        <v/>
      </c>
    </row>
    <row r="6">
      <c r="A6" s="2" t="str">
        <f t="array" ref="A6">IFERROR(INDEX(MPLB!$B:$B, (ROW()/2-1)*5 + COLUMN() + 1), "")</f>
        <v>MPLB-PC-0011-26</v>
      </c>
      <c r="B6" s="2" t="str">
        <f t="array" ref="B6">IFERROR(INDEX(MPLB!$B:$B, (ROW()/2-1)*5 + COLUMN() + 1), "")</f>
        <v>MPLB-PC-0012-26</v>
      </c>
      <c r="C6" s="2" t="str">
        <f t="array" ref="C6">IFERROR(INDEX(MPLB!$B:$B, (ROW()/2-1)*5 + COLUMN() + 1), "")</f>
        <v>MPLB-PC-0013-26</v>
      </c>
      <c r="D6" s="2" t="str">
        <f t="array" ref="D6">IFERROR(INDEX(MPLB!$B:$B, (ROW()/2-1)*5 + COLUMN() + 1), "")</f>
        <v>MPLB-PC-0014-26</v>
      </c>
      <c r="E6" s="2" t="str">
        <f t="array" ref="E6">IFERROR(INDEX(MPLB!$B:$B, (ROW()/2-1)*5 + COLUMN() + 1), "")</f>
        <v>MPLB-PC-0015-26</v>
      </c>
    </row>
    <row r="7" ht="101.25" customHeight="1">
      <c r="A7" s="2" t="str">
        <f t="array" ref="A7">IFERROR(INDEX(MPLB!$T:$T, (ROUNDUP(ROW()/2,0)-1)*5 + COLUMN() + 1), "")</f>
        <v/>
      </c>
      <c r="B7" s="2" t="str">
        <f t="array" ref="B7">IFERROR(INDEX(MPLB!$T:$T, (ROUNDUP(ROW()/2,0)-1)*5 + COLUMN() + 1), "")</f>
        <v/>
      </c>
      <c r="C7" s="2" t="str">
        <f t="array" ref="C7">IFERROR(INDEX(MPLB!$T:$T, (ROUNDUP(ROW()/2,0)-1)*5 + COLUMN() + 1), "")</f>
        <v/>
      </c>
      <c r="D7" s="2" t="str">
        <f t="array" ref="D7">IFERROR(INDEX(MPLB!$T:$T, (ROUNDUP(ROW()/2,0)-1)*5 + COLUMN() + 1), "")</f>
        <v/>
      </c>
      <c r="E7" s="2" t="str">
        <f t="array" ref="E7">IFERROR(INDEX(MPLB!$T:$T, (ROUNDUP(ROW()/2,0)-1)*5 + COLUMN() + 1), "")</f>
        <v/>
      </c>
    </row>
    <row r="8">
      <c r="A8" s="2" t="str">
        <f t="array" ref="A8">IFERROR(INDEX(MPLB!$B:$B, (ROW()/2-1)*5 + COLUMN() + 1), "")</f>
        <v>MPLB-PC-0016-26</v>
      </c>
      <c r="B8" s="2" t="str">
        <f t="array" ref="B8">IFERROR(INDEX(MPLB!$B:$B, (ROW()/2-1)*5 + COLUMN() + 1), "")</f>
        <v>MPLB-PC-0017-26</v>
      </c>
      <c r="C8" s="2" t="str">
        <f t="array" ref="C8">IFERROR(INDEX(MPLB!$B:$B, (ROW()/2-1)*5 + COLUMN() + 1), "")</f>
        <v>MPLB-PC-0018-26</v>
      </c>
      <c r="D8" s="2" t="str">
        <f t="array" ref="D8">IFERROR(INDEX(MPLB!$B:$B, (ROW()/2-1)*5 + COLUMN() + 1), "")</f>
        <v>MPLB-PC-0019-26</v>
      </c>
      <c r="E8" s="2" t="str">
        <f t="array" ref="E8">IFERROR(INDEX(MPLB!$B:$B, (ROW()/2-1)*5 + COLUMN() + 1), "")</f>
        <v>MPLB-PC-0020-26</v>
      </c>
    </row>
    <row r="9" ht="101.25" customHeight="1">
      <c r="A9" s="2" t="str">
        <f t="array" ref="A9">IFERROR(INDEX(MPLB!$T:$T, (ROUNDUP(ROW()/2,0)-1)*5 + COLUMN() + 1), "")</f>
        <v/>
      </c>
      <c r="B9" s="2" t="str">
        <f t="array" ref="B9">IFERROR(INDEX(MPLB!$T:$T, (ROUNDUP(ROW()/2,0)-1)*5 + COLUMN() + 1), "")</f>
        <v/>
      </c>
      <c r="C9" s="2" t="str">
        <f t="array" ref="C9">IFERROR(INDEX(MPLB!$T:$T, (ROUNDUP(ROW()/2,0)-1)*5 + COLUMN() + 1), "")</f>
        <v/>
      </c>
      <c r="D9" s="2" t="str">
        <f t="array" ref="D9">IFERROR(INDEX(MPLB!$T:$T, (ROUNDUP(ROW()/2,0)-1)*5 + COLUMN() + 1), "")</f>
        <v/>
      </c>
      <c r="E9" s="2" t="str">
        <f t="array" ref="E9">IFERROR(INDEX(MPLB!$T:$T, (ROUNDUP(ROW()/2,0)-1)*5 + COLUMN() + 1), "")</f>
        <v/>
      </c>
    </row>
    <row r="10">
      <c r="A10" s="2" t="str">
        <f t="array" ref="A10">IFERROR(INDEX(MPLB!$B:$B, (ROW()/2-1)*5 + COLUMN() + 1), "")</f>
        <v>MPLB-PC-0021-26</v>
      </c>
      <c r="B10" s="2" t="str">
        <f t="array" ref="B10">IFERROR(INDEX(MPLB!$B:$B, (ROW()/2-1)*5 + COLUMN() + 1), "")</f>
        <v>MPLB-PC-0022-26</v>
      </c>
      <c r="C10" s="2" t="str">
        <f t="array" ref="C10">IFERROR(INDEX(MPLB!$B:$B, (ROW()/2-1)*5 + COLUMN() + 1), "")</f>
        <v>MPLB-PC-0023-26</v>
      </c>
      <c r="D10" s="2" t="str">
        <f t="array" ref="D10">IFERROR(INDEX(MPLB!$B:$B, (ROW()/2-1)*5 + COLUMN() + 1), "")</f>
        <v>MPLB-PC-0024-26</v>
      </c>
      <c r="E10" s="2" t="str">
        <f t="array" ref="E10">IFERROR(INDEX(MPLB!$B:$B, (ROW()/2-1)*5 + COLUMN() + 1), "")</f>
        <v>MPLB-PC-0025-26</v>
      </c>
    </row>
    <row r="11" ht="101.25" customHeight="1">
      <c r="A11" s="2" t="str">
        <f t="array" ref="A11">IFERROR(INDEX(MPLB!$T:$T, (ROUNDUP(ROW()/2,0)-1)*5 + COLUMN() + 1), "")</f>
        <v/>
      </c>
      <c r="B11" s="2" t="str">
        <f t="array" ref="B11">IFERROR(INDEX(MPLB!$T:$T, (ROUNDUP(ROW()/2,0)-1)*5 + COLUMN() + 1), "")</f>
        <v/>
      </c>
      <c r="C11" s="2" t="str">
        <f t="array" ref="C11">IFERROR(INDEX(MPLB!$T:$T, (ROUNDUP(ROW()/2,0)-1)*5 + COLUMN() + 1), "")</f>
        <v/>
      </c>
      <c r="D11" s="2" t="str">
        <f t="array" ref="D11">IFERROR(INDEX(MPLB!$T:$T, (ROUNDUP(ROW()/2,0)-1)*5 + COLUMN() + 1), "")</f>
        <v/>
      </c>
      <c r="E11" s="2" t="str">
        <f t="array" ref="E11">IFERROR(INDEX(MPLB!$T:$T, (ROUNDUP(ROW()/2,0)-1)*5 + COLUMN() + 1), "")</f>
        <v/>
      </c>
    </row>
    <row r="12">
      <c r="A12" s="2" t="str">
        <f t="array" ref="A12">IFERROR(INDEX(MPLB!$B:$B, (ROW()/2-1)*5 + COLUMN() + 1), "")</f>
        <v>MPLB-PC-0026-26</v>
      </c>
      <c r="B12" s="2" t="str">
        <f t="array" ref="B12">IFERROR(INDEX(MPLB!$B:$B, (ROW()/2-1)*5 + COLUMN() + 1), "")</f>
        <v>MPLB-PC-0027-26</v>
      </c>
      <c r="C12" s="2" t="str">
        <f t="array" ref="C12">IFERROR(INDEX(MPLB!$B:$B, (ROW()/2-1)*5 + COLUMN() + 1), "")</f>
        <v>MPLB-PC-0028-26</v>
      </c>
      <c r="D12" s="2" t="str">
        <f t="array" ref="D12">IFERROR(INDEX(MPLB!$B:$B, (ROW()/2-1)*5 + COLUMN() + 1), "")</f>
        <v>MPLB-PC-0029-26</v>
      </c>
      <c r="E12" s="2" t="str">
        <f t="array" ref="E12">IFERROR(INDEX(MPLB!$B:$B, (ROW()/2-1)*5 + COLUMN() + 1), "")</f>
        <v>MPLB-PC-0030-26</v>
      </c>
    </row>
    <row r="13" ht="101.25" customHeight="1">
      <c r="A13" s="2" t="str">
        <f t="array" ref="A13">IFERROR(INDEX(MPLB!$T:$T, (ROUNDUP(ROW()/2,0)-1)*5 + COLUMN() + 1), "")</f>
        <v/>
      </c>
      <c r="B13" s="2" t="str">
        <f t="array" ref="B13">IFERROR(INDEX(MPLB!$T:$T, (ROUNDUP(ROW()/2,0)-1)*5 + COLUMN() + 1), "")</f>
        <v/>
      </c>
      <c r="C13" s="2" t="str">
        <f t="array" ref="C13">IFERROR(INDEX(MPLB!$T:$T, (ROUNDUP(ROW()/2,0)-1)*5 + COLUMN() + 1), "")</f>
        <v/>
      </c>
      <c r="D13" s="2" t="str">
        <f t="array" ref="D13">IFERROR(INDEX(MPLB!$T:$T, (ROUNDUP(ROW()/2,0)-1)*5 + COLUMN() + 1), "")</f>
        <v/>
      </c>
      <c r="E13" s="2" t="str">
        <f t="array" ref="E13">IFERROR(INDEX(MPLB!$T:$T, (ROUNDUP(ROW()/2,0)-1)*5 + COLUMN() + 1), "")</f>
        <v/>
      </c>
    </row>
    <row r="14">
      <c r="A14" s="2" t="str">
        <f t="array" ref="A14">IFERROR(INDEX(MPLB!$B:$B, (ROW()/2-1)*5 + COLUMN() + 1), "")</f>
        <v>MPLB-PC-0031-26</v>
      </c>
      <c r="B14" s="2" t="str">
        <f t="array" ref="B14">IFERROR(INDEX(MPLB!$B:$B, (ROW()/2-1)*5 + COLUMN() + 1), "")</f>
        <v>MPLB-PC-0032-26</v>
      </c>
      <c r="C14" s="2" t="str">
        <f t="array" ref="C14">IFERROR(INDEX(MPLB!$B:$B, (ROW()/2-1)*5 + COLUMN() + 1), "")</f>
        <v>MPLB-PC-0033-26</v>
      </c>
      <c r="D14" s="2" t="str">
        <f t="array" ref="D14">IFERROR(INDEX(MPLB!$B:$B, (ROW()/2-1)*5 + COLUMN() + 1), "")</f>
        <v>MPLB-PC-0034-26</v>
      </c>
      <c r="E14" s="2" t="str">
        <f t="array" ref="E14">IFERROR(INDEX(MPLB!$B:$B, (ROW()/2-1)*5 + COLUMN() + 1), "")</f>
        <v>MPLB-PC-0035-26</v>
      </c>
    </row>
    <row r="15" ht="101.25" customHeight="1">
      <c r="A15" s="2" t="str">
        <f t="array" ref="A15">IFERROR(INDEX(MPLB!$T:$T, (ROUNDUP(ROW()/2,0)-1)*5 + COLUMN() + 1), "")</f>
        <v/>
      </c>
      <c r="B15" s="2" t="str">
        <f t="array" ref="B15">IFERROR(INDEX(MPLB!$T:$T, (ROUNDUP(ROW()/2,0)-1)*5 + COLUMN() + 1), "")</f>
        <v/>
      </c>
      <c r="C15" s="2" t="str">
        <f t="array" ref="C15">IFERROR(INDEX(MPLB!$T:$T, (ROUNDUP(ROW()/2,0)-1)*5 + COLUMN() + 1), "")</f>
        <v/>
      </c>
      <c r="D15" s="2" t="str">
        <f t="array" ref="D15">IFERROR(INDEX(MPLB!$T:$T, (ROUNDUP(ROW()/2,0)-1)*5 + COLUMN() + 1), "")</f>
        <v/>
      </c>
      <c r="E15" s="2" t="str">
        <f t="array" ref="E15">IFERROR(INDEX(MPLB!$T:$T, (ROUNDUP(ROW()/2,0)-1)*5 + COLUMN() + 1), "")</f>
        <v/>
      </c>
    </row>
    <row r="16">
      <c r="A16" s="2" t="str">
        <f t="array" ref="A16">IFERROR(INDEX(MPLB!$B:$B, (ROW()/2-1)*5 + COLUMN() + 1), "")</f>
        <v>MPLB-PC-0036-26</v>
      </c>
      <c r="B16" s="2" t="str">
        <f t="array" ref="B16">IFERROR(INDEX(MPLB!$B:$B, (ROW()/2-1)*5 + COLUMN() + 1), "")</f>
        <v/>
      </c>
      <c r="C16" s="2" t="str">
        <f t="array" ref="C16">IFERROR(INDEX(MPLB!$B:$B, (ROW()/2-1)*5 + COLUMN() + 1), "")</f>
        <v/>
      </c>
      <c r="D16" s="2" t="str">
        <f t="array" ref="D16">IFERROR(INDEX(MPLB!$B:$B, (ROW()/2-1)*5 + COLUMN() + 1), "")</f>
        <v/>
      </c>
      <c r="E16" s="2" t="str">
        <f t="array" ref="E16">IFERROR(INDEX(MPLB!$B:$B, (ROW()/2-1)*5 + COLUMN() + 1), "")</f>
        <v/>
      </c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1.88"/>
    <col customWidth="1" min="3" max="3" width="20.63"/>
    <col customWidth="1" min="4" max="4" width="19.88"/>
    <col customWidth="1" min="5" max="5" width="9.63"/>
    <col customWidth="1" min="6" max="6" width="14.38"/>
    <col customWidth="1" min="7" max="7" width="13.88"/>
    <col customWidth="1" min="8" max="8" width="15.63"/>
    <col customWidth="1" min="9" max="9" width="12.25"/>
    <col customWidth="1" min="10" max="10" width="17.38"/>
    <col customWidth="1" min="11" max="11" width="21.25"/>
    <col customWidth="1" min="12" max="12" width="20.38"/>
    <col customWidth="1" min="13" max="19" width="19.75"/>
    <col customWidth="1" min="20" max="20" width="32.0"/>
    <col customWidth="1" min="21" max="33" width="8.63"/>
  </cols>
  <sheetData>
    <row r="1" ht="14.2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ht="123.75" customHeight="1">
      <c r="A2" s="13" t="s">
        <v>20</v>
      </c>
      <c r="B2" s="13" t="str">
        <f t="shared" ref="B2:B29" si="1">CONCATENATE("DKV-PC-00",RIGHT(A2,LEN(A2) - (FIND(" ",A2))),"-26")</f>
        <v>DKV-PC-001-26</v>
      </c>
      <c r="C2" s="31" t="s">
        <v>143</v>
      </c>
      <c r="D2" s="32" t="s">
        <v>145</v>
      </c>
      <c r="E2" s="32" t="s">
        <v>147</v>
      </c>
      <c r="F2" s="32" t="s">
        <v>149</v>
      </c>
      <c r="G2" s="32" t="s">
        <v>150</v>
      </c>
      <c r="H2" s="32" t="s">
        <v>28</v>
      </c>
      <c r="I2" s="32" t="s">
        <v>28</v>
      </c>
      <c r="J2" s="32" t="s">
        <v>151</v>
      </c>
      <c r="K2" s="32" t="s">
        <v>152</v>
      </c>
      <c r="L2" s="32" t="s">
        <v>36</v>
      </c>
      <c r="M2" s="13" t="s">
        <v>154</v>
      </c>
      <c r="N2" s="32"/>
      <c r="O2" s="32"/>
      <c r="P2" s="32"/>
      <c r="Q2" s="32"/>
      <c r="R2" s="32"/>
      <c r="S2" s="32"/>
      <c r="T2" s="17" t="str">
        <f t="shared" ref="T2:T29" si="2">IMAGE("https://quickchart.io/qr?text="&amp;ENCODEURL("https://script.google.com/macros/s/AKfycbwQpzkxOCRP3NYqoeT2iICUn44Z1fFWd3SGrCOmIeLE-uz8Fxp4eBwg-OJKyc6xQgcnDA/exec?id="&amp;B2))</f>
        <v/>
      </c>
    </row>
    <row r="3" ht="123.75" customHeight="1">
      <c r="A3" s="13" t="s">
        <v>40</v>
      </c>
      <c r="B3" s="13" t="str">
        <f t="shared" si="1"/>
        <v>DKV-PC-002-26</v>
      </c>
      <c r="C3" s="31" t="s">
        <v>159</v>
      </c>
      <c r="D3" s="32" t="s">
        <v>145</v>
      </c>
      <c r="E3" s="32" t="s">
        <v>147</v>
      </c>
      <c r="F3" s="32" t="s">
        <v>149</v>
      </c>
      <c r="G3" s="32" t="s">
        <v>150</v>
      </c>
      <c r="H3" s="32" t="s">
        <v>28</v>
      </c>
      <c r="I3" s="32" t="s">
        <v>28</v>
      </c>
      <c r="J3" s="32" t="s">
        <v>151</v>
      </c>
      <c r="K3" s="32" t="s">
        <v>152</v>
      </c>
      <c r="L3" s="32" t="s">
        <v>36</v>
      </c>
      <c r="M3" s="13" t="s">
        <v>154</v>
      </c>
      <c r="N3" s="32"/>
      <c r="O3" s="32"/>
      <c r="P3" s="32"/>
      <c r="Q3" s="32"/>
      <c r="R3" s="32"/>
      <c r="S3" s="32"/>
      <c r="T3" s="17" t="str">
        <f t="shared" si="2"/>
        <v/>
      </c>
    </row>
    <row r="4" ht="123.75" customHeight="1">
      <c r="A4" s="13" t="s">
        <v>45</v>
      </c>
      <c r="B4" s="13" t="str">
        <f t="shared" si="1"/>
        <v>DKV-PC-003-26</v>
      </c>
      <c r="C4" s="31" t="s">
        <v>166</v>
      </c>
      <c r="D4" s="32" t="s">
        <v>145</v>
      </c>
      <c r="E4" s="32" t="s">
        <v>147</v>
      </c>
      <c r="F4" s="32" t="s">
        <v>149</v>
      </c>
      <c r="G4" s="32" t="s">
        <v>150</v>
      </c>
      <c r="H4" s="32" t="s">
        <v>28</v>
      </c>
      <c r="I4" s="32" t="s">
        <v>28</v>
      </c>
      <c r="J4" s="32" t="s">
        <v>151</v>
      </c>
      <c r="K4" s="32" t="s">
        <v>152</v>
      </c>
      <c r="L4" s="32" t="s">
        <v>36</v>
      </c>
      <c r="M4" s="13" t="s">
        <v>154</v>
      </c>
      <c r="N4" s="32"/>
      <c r="O4" s="32"/>
      <c r="P4" s="32"/>
      <c r="Q4" s="32"/>
      <c r="R4" s="32"/>
      <c r="S4" s="32"/>
      <c r="T4" s="17" t="str">
        <f t="shared" si="2"/>
        <v/>
      </c>
    </row>
    <row r="5" ht="123.75" customHeight="1">
      <c r="A5" s="13" t="s">
        <v>54</v>
      </c>
      <c r="B5" s="13" t="str">
        <f t="shared" si="1"/>
        <v>DKV-PC-004-26</v>
      </c>
      <c r="C5" s="31" t="s">
        <v>173</v>
      </c>
      <c r="D5" s="32" t="s">
        <v>145</v>
      </c>
      <c r="E5" s="32" t="s">
        <v>147</v>
      </c>
      <c r="F5" s="32" t="s">
        <v>149</v>
      </c>
      <c r="G5" s="32" t="s">
        <v>150</v>
      </c>
      <c r="H5" s="32" t="s">
        <v>28</v>
      </c>
      <c r="I5" s="32" t="s">
        <v>28</v>
      </c>
      <c r="J5" s="32" t="s">
        <v>151</v>
      </c>
      <c r="K5" s="32" t="s">
        <v>152</v>
      </c>
      <c r="L5" s="32" t="s">
        <v>36</v>
      </c>
      <c r="M5" s="13" t="s">
        <v>154</v>
      </c>
      <c r="N5" s="32"/>
      <c r="O5" s="32"/>
      <c r="P5" s="32"/>
      <c r="Q5" s="32"/>
      <c r="R5" s="32"/>
      <c r="S5" s="32"/>
      <c r="T5" s="17" t="str">
        <f t="shared" si="2"/>
        <v/>
      </c>
    </row>
    <row r="6" ht="123.75" customHeight="1">
      <c r="A6" s="13" t="s">
        <v>60</v>
      </c>
      <c r="B6" s="13" t="str">
        <f t="shared" si="1"/>
        <v>DKV-PC-005-26</v>
      </c>
      <c r="C6" s="31" t="s">
        <v>179</v>
      </c>
      <c r="D6" s="32" t="s">
        <v>145</v>
      </c>
      <c r="E6" s="32" t="s">
        <v>147</v>
      </c>
      <c r="F6" s="32" t="s">
        <v>149</v>
      </c>
      <c r="G6" s="32" t="s">
        <v>150</v>
      </c>
      <c r="H6" s="32" t="s">
        <v>28</v>
      </c>
      <c r="I6" s="32" t="s">
        <v>28</v>
      </c>
      <c r="J6" s="32" t="s">
        <v>151</v>
      </c>
      <c r="K6" s="32" t="s">
        <v>152</v>
      </c>
      <c r="L6" s="32" t="s">
        <v>36</v>
      </c>
      <c r="M6" s="13" t="s">
        <v>154</v>
      </c>
      <c r="N6" s="32"/>
      <c r="O6" s="32"/>
      <c r="P6" s="32"/>
      <c r="Q6" s="32"/>
      <c r="R6" s="32"/>
      <c r="S6" s="32"/>
      <c r="T6" s="17" t="str">
        <f t="shared" si="2"/>
        <v/>
      </c>
    </row>
    <row r="7" ht="123.75" customHeight="1">
      <c r="A7" s="13" t="s">
        <v>68</v>
      </c>
      <c r="B7" s="13" t="str">
        <f t="shared" si="1"/>
        <v>DKV-PC-006-26</v>
      </c>
      <c r="C7" s="31" t="s">
        <v>185</v>
      </c>
      <c r="D7" s="32" t="s">
        <v>145</v>
      </c>
      <c r="E7" s="32" t="s">
        <v>147</v>
      </c>
      <c r="F7" s="32" t="s">
        <v>149</v>
      </c>
      <c r="G7" s="32" t="s">
        <v>150</v>
      </c>
      <c r="H7" s="32" t="s">
        <v>28</v>
      </c>
      <c r="I7" s="32" t="s">
        <v>28</v>
      </c>
      <c r="J7" s="32" t="s">
        <v>151</v>
      </c>
      <c r="K7" s="32" t="s">
        <v>152</v>
      </c>
      <c r="L7" s="32" t="s">
        <v>36</v>
      </c>
      <c r="M7" s="13" t="s">
        <v>154</v>
      </c>
      <c r="N7" s="32"/>
      <c r="O7" s="32"/>
      <c r="P7" s="32"/>
      <c r="Q7" s="32"/>
      <c r="R7" s="32"/>
      <c r="S7" s="32"/>
      <c r="T7" s="17" t="str">
        <f t="shared" si="2"/>
        <v/>
      </c>
    </row>
    <row r="8" ht="123.75" customHeight="1">
      <c r="A8" s="13" t="s">
        <v>73</v>
      </c>
      <c r="B8" s="13" t="str">
        <f t="shared" si="1"/>
        <v>DKV-PC-007-26</v>
      </c>
      <c r="C8" s="31" t="s">
        <v>188</v>
      </c>
      <c r="D8" s="32" t="s">
        <v>145</v>
      </c>
      <c r="E8" s="32" t="s">
        <v>147</v>
      </c>
      <c r="F8" s="32" t="s">
        <v>149</v>
      </c>
      <c r="G8" s="32" t="s">
        <v>150</v>
      </c>
      <c r="H8" s="32" t="s">
        <v>28</v>
      </c>
      <c r="I8" s="32" t="s">
        <v>28</v>
      </c>
      <c r="J8" s="32" t="s">
        <v>151</v>
      </c>
      <c r="K8" s="32" t="s">
        <v>152</v>
      </c>
      <c r="L8" s="32" t="s">
        <v>36</v>
      </c>
      <c r="M8" s="13" t="s">
        <v>154</v>
      </c>
      <c r="N8" s="32"/>
      <c r="O8" s="32"/>
      <c r="P8" s="32"/>
      <c r="Q8" s="32"/>
      <c r="R8" s="32"/>
      <c r="S8" s="32"/>
      <c r="T8" s="17" t="str">
        <f t="shared" si="2"/>
        <v/>
      </c>
    </row>
    <row r="9" ht="123.75" customHeight="1">
      <c r="A9" s="13" t="s">
        <v>78</v>
      </c>
      <c r="B9" s="13" t="str">
        <f t="shared" si="1"/>
        <v>DKV-PC-008-26</v>
      </c>
      <c r="C9" s="31" t="s">
        <v>192</v>
      </c>
      <c r="D9" s="32" t="s">
        <v>145</v>
      </c>
      <c r="E9" s="32" t="s">
        <v>147</v>
      </c>
      <c r="F9" s="32" t="s">
        <v>149</v>
      </c>
      <c r="G9" s="32" t="s">
        <v>150</v>
      </c>
      <c r="H9" s="32" t="s">
        <v>28</v>
      </c>
      <c r="I9" s="32" t="s">
        <v>28</v>
      </c>
      <c r="J9" s="32" t="s">
        <v>151</v>
      </c>
      <c r="K9" s="32" t="s">
        <v>152</v>
      </c>
      <c r="L9" s="32" t="s">
        <v>36</v>
      </c>
      <c r="M9" s="13" t="s">
        <v>154</v>
      </c>
      <c r="N9" s="32"/>
      <c r="O9" s="32"/>
      <c r="P9" s="32"/>
      <c r="Q9" s="32"/>
      <c r="R9" s="32"/>
      <c r="S9" s="32"/>
      <c r="T9" s="17" t="str">
        <f t="shared" si="2"/>
        <v/>
      </c>
    </row>
    <row r="10" ht="123.75" customHeight="1">
      <c r="A10" s="13" t="s">
        <v>82</v>
      </c>
      <c r="B10" s="13" t="str">
        <f t="shared" si="1"/>
        <v>DKV-PC-009-26</v>
      </c>
      <c r="C10" s="31" t="s">
        <v>196</v>
      </c>
      <c r="D10" s="32" t="s">
        <v>145</v>
      </c>
      <c r="E10" s="32" t="s">
        <v>147</v>
      </c>
      <c r="F10" s="32" t="s">
        <v>149</v>
      </c>
      <c r="G10" s="32" t="s">
        <v>150</v>
      </c>
      <c r="H10" s="32" t="s">
        <v>28</v>
      </c>
      <c r="I10" s="32" t="s">
        <v>28</v>
      </c>
      <c r="J10" s="32" t="s">
        <v>151</v>
      </c>
      <c r="K10" s="32" t="s">
        <v>152</v>
      </c>
      <c r="L10" s="32" t="s">
        <v>36</v>
      </c>
      <c r="M10" s="13" t="s">
        <v>154</v>
      </c>
      <c r="N10" s="32"/>
      <c r="O10" s="32"/>
      <c r="P10" s="32"/>
      <c r="Q10" s="32"/>
      <c r="R10" s="32"/>
      <c r="S10" s="32"/>
      <c r="T10" s="17" t="str">
        <f t="shared" si="2"/>
        <v/>
      </c>
    </row>
    <row r="11" ht="123.75" customHeight="1">
      <c r="A11" s="13" t="s">
        <v>89</v>
      </c>
      <c r="B11" s="13" t="str">
        <f t="shared" si="1"/>
        <v>DKV-PC-0010-26</v>
      </c>
      <c r="C11" s="31" t="s">
        <v>200</v>
      </c>
      <c r="D11" s="32" t="s">
        <v>145</v>
      </c>
      <c r="E11" s="32" t="s">
        <v>147</v>
      </c>
      <c r="F11" s="32" t="s">
        <v>149</v>
      </c>
      <c r="G11" s="32" t="s">
        <v>150</v>
      </c>
      <c r="H11" s="32" t="s">
        <v>28</v>
      </c>
      <c r="I11" s="32" t="s">
        <v>28</v>
      </c>
      <c r="J11" s="32" t="s">
        <v>151</v>
      </c>
      <c r="K11" s="32" t="s">
        <v>152</v>
      </c>
      <c r="L11" s="32" t="s">
        <v>36</v>
      </c>
      <c r="M11" s="13" t="s">
        <v>154</v>
      </c>
      <c r="N11" s="32"/>
      <c r="O11" s="32"/>
      <c r="P11" s="32"/>
      <c r="Q11" s="32"/>
      <c r="R11" s="32"/>
      <c r="S11" s="32"/>
      <c r="T11" s="17" t="str">
        <f t="shared" si="2"/>
        <v/>
      </c>
    </row>
    <row r="12" ht="123.75" customHeight="1">
      <c r="A12" s="13" t="s">
        <v>91</v>
      </c>
      <c r="B12" s="13" t="str">
        <f t="shared" si="1"/>
        <v>DKV-PC-0011-26</v>
      </c>
      <c r="C12" s="31" t="s">
        <v>205</v>
      </c>
      <c r="D12" s="32" t="s">
        <v>145</v>
      </c>
      <c r="E12" s="32" t="s">
        <v>147</v>
      </c>
      <c r="F12" s="32" t="s">
        <v>149</v>
      </c>
      <c r="G12" s="32" t="s">
        <v>150</v>
      </c>
      <c r="H12" s="32" t="s">
        <v>28</v>
      </c>
      <c r="I12" s="32" t="s">
        <v>28</v>
      </c>
      <c r="J12" s="32" t="s">
        <v>151</v>
      </c>
      <c r="K12" s="32" t="s">
        <v>152</v>
      </c>
      <c r="L12" s="32" t="s">
        <v>36</v>
      </c>
      <c r="M12" s="13" t="s">
        <v>154</v>
      </c>
      <c r="N12" s="32"/>
      <c r="O12" s="32"/>
      <c r="P12" s="32"/>
      <c r="Q12" s="32"/>
      <c r="R12" s="32"/>
      <c r="S12" s="32"/>
      <c r="T12" s="17" t="str">
        <f t="shared" si="2"/>
        <v/>
      </c>
    </row>
    <row r="13" ht="123.75" customHeight="1">
      <c r="A13" s="13" t="s">
        <v>93</v>
      </c>
      <c r="B13" s="13" t="str">
        <f t="shared" si="1"/>
        <v>DKV-PC-0012-26</v>
      </c>
      <c r="C13" s="31" t="s">
        <v>210</v>
      </c>
      <c r="D13" s="32" t="s">
        <v>145</v>
      </c>
      <c r="E13" s="32" t="s">
        <v>147</v>
      </c>
      <c r="F13" s="32" t="s">
        <v>149</v>
      </c>
      <c r="G13" s="32" t="s">
        <v>150</v>
      </c>
      <c r="H13" s="32" t="s">
        <v>28</v>
      </c>
      <c r="I13" s="32" t="s">
        <v>28</v>
      </c>
      <c r="J13" s="32" t="s">
        <v>151</v>
      </c>
      <c r="K13" s="32" t="s">
        <v>152</v>
      </c>
      <c r="L13" s="32" t="s">
        <v>36</v>
      </c>
      <c r="M13" s="13" t="s">
        <v>154</v>
      </c>
      <c r="N13" s="32"/>
      <c r="O13" s="32"/>
      <c r="P13" s="32"/>
      <c r="Q13" s="32"/>
      <c r="R13" s="32"/>
      <c r="S13" s="32"/>
      <c r="T13" s="17" t="str">
        <f t="shared" si="2"/>
        <v/>
      </c>
    </row>
    <row r="14" ht="123.75" customHeight="1">
      <c r="A14" s="13" t="s">
        <v>99</v>
      </c>
      <c r="B14" s="13" t="str">
        <f t="shared" si="1"/>
        <v>DKV-PC-0013-26</v>
      </c>
      <c r="C14" s="31" t="s">
        <v>213</v>
      </c>
      <c r="D14" s="32" t="s">
        <v>145</v>
      </c>
      <c r="E14" s="32" t="s">
        <v>147</v>
      </c>
      <c r="F14" s="32" t="s">
        <v>149</v>
      </c>
      <c r="G14" s="32" t="s">
        <v>150</v>
      </c>
      <c r="H14" s="32" t="s">
        <v>28</v>
      </c>
      <c r="I14" s="32" t="s">
        <v>28</v>
      </c>
      <c r="J14" s="32" t="s">
        <v>151</v>
      </c>
      <c r="K14" s="32" t="s">
        <v>152</v>
      </c>
      <c r="L14" s="32" t="s">
        <v>36</v>
      </c>
      <c r="M14" s="13" t="s">
        <v>154</v>
      </c>
      <c r="N14" s="32"/>
      <c r="O14" s="32"/>
      <c r="P14" s="32"/>
      <c r="Q14" s="32"/>
      <c r="R14" s="32"/>
      <c r="S14" s="32"/>
      <c r="T14" s="17" t="str">
        <f t="shared" si="2"/>
        <v/>
      </c>
    </row>
    <row r="15" ht="123.75" customHeight="1">
      <c r="A15" s="13" t="s">
        <v>102</v>
      </c>
      <c r="B15" s="13" t="str">
        <f t="shared" si="1"/>
        <v>DKV-PC-0014-26</v>
      </c>
      <c r="C15" s="31" t="s">
        <v>215</v>
      </c>
      <c r="D15" s="32" t="s">
        <v>145</v>
      </c>
      <c r="E15" s="32" t="s">
        <v>147</v>
      </c>
      <c r="F15" s="32" t="s">
        <v>149</v>
      </c>
      <c r="G15" s="32" t="s">
        <v>150</v>
      </c>
      <c r="H15" s="32" t="s">
        <v>28</v>
      </c>
      <c r="I15" s="32" t="s">
        <v>28</v>
      </c>
      <c r="J15" s="32" t="s">
        <v>151</v>
      </c>
      <c r="K15" s="32" t="s">
        <v>152</v>
      </c>
      <c r="L15" s="32" t="s">
        <v>36</v>
      </c>
      <c r="M15" s="13" t="s">
        <v>154</v>
      </c>
      <c r="N15" s="32"/>
      <c r="O15" s="32"/>
      <c r="P15" s="32"/>
      <c r="Q15" s="32"/>
      <c r="R15" s="32"/>
      <c r="S15" s="32"/>
      <c r="T15" s="17" t="str">
        <f t="shared" si="2"/>
        <v/>
      </c>
    </row>
    <row r="16" ht="123.75" customHeight="1">
      <c r="A16" s="13" t="s">
        <v>106</v>
      </c>
      <c r="B16" s="13" t="str">
        <f t="shared" si="1"/>
        <v>DKV-PC-0015-26</v>
      </c>
      <c r="C16" s="31" t="s">
        <v>217</v>
      </c>
      <c r="D16" s="32" t="s">
        <v>145</v>
      </c>
      <c r="E16" s="32" t="s">
        <v>147</v>
      </c>
      <c r="F16" s="32" t="s">
        <v>149</v>
      </c>
      <c r="G16" s="32" t="s">
        <v>150</v>
      </c>
      <c r="H16" s="32" t="s">
        <v>28</v>
      </c>
      <c r="I16" s="32" t="s">
        <v>28</v>
      </c>
      <c r="J16" s="32" t="s">
        <v>151</v>
      </c>
      <c r="K16" s="32" t="s">
        <v>152</v>
      </c>
      <c r="L16" s="32" t="s">
        <v>36</v>
      </c>
      <c r="M16" s="13" t="s">
        <v>154</v>
      </c>
      <c r="N16" s="32"/>
      <c r="O16" s="32"/>
      <c r="P16" s="32"/>
      <c r="Q16" s="32"/>
      <c r="R16" s="32"/>
      <c r="S16" s="32"/>
      <c r="T16" s="17" t="str">
        <f t="shared" si="2"/>
        <v/>
      </c>
    </row>
    <row r="17" ht="123.75" customHeight="1">
      <c r="A17" s="13" t="s">
        <v>109</v>
      </c>
      <c r="B17" s="13" t="str">
        <f t="shared" si="1"/>
        <v>DKV-PC-0016-26</v>
      </c>
      <c r="C17" s="31" t="s">
        <v>219</v>
      </c>
      <c r="D17" s="32" t="s">
        <v>145</v>
      </c>
      <c r="E17" s="32" t="s">
        <v>147</v>
      </c>
      <c r="F17" s="32" t="s">
        <v>149</v>
      </c>
      <c r="G17" s="32" t="s">
        <v>150</v>
      </c>
      <c r="H17" s="32" t="s">
        <v>28</v>
      </c>
      <c r="I17" s="32" t="s">
        <v>28</v>
      </c>
      <c r="J17" s="32" t="s">
        <v>151</v>
      </c>
      <c r="K17" s="32" t="s">
        <v>152</v>
      </c>
      <c r="L17" s="32" t="s">
        <v>36</v>
      </c>
      <c r="M17" s="13" t="s">
        <v>154</v>
      </c>
      <c r="N17" s="32"/>
      <c r="O17" s="32"/>
      <c r="P17" s="32"/>
      <c r="Q17" s="32"/>
      <c r="R17" s="32"/>
      <c r="S17" s="32"/>
      <c r="T17" s="17" t="str">
        <f t="shared" si="2"/>
        <v/>
      </c>
    </row>
    <row r="18" ht="123.75" customHeight="1">
      <c r="A18" s="13" t="s">
        <v>113</v>
      </c>
      <c r="B18" s="13" t="str">
        <f t="shared" si="1"/>
        <v>DKV-PC-0017-26</v>
      </c>
      <c r="C18" s="31" t="s">
        <v>221</v>
      </c>
      <c r="D18" s="32" t="s">
        <v>145</v>
      </c>
      <c r="E18" s="32" t="s">
        <v>147</v>
      </c>
      <c r="F18" s="32" t="s">
        <v>149</v>
      </c>
      <c r="G18" s="32" t="s">
        <v>150</v>
      </c>
      <c r="H18" s="32" t="s">
        <v>28</v>
      </c>
      <c r="I18" s="32" t="s">
        <v>28</v>
      </c>
      <c r="J18" s="32" t="s">
        <v>151</v>
      </c>
      <c r="K18" s="32" t="s">
        <v>152</v>
      </c>
      <c r="L18" s="32" t="s">
        <v>36</v>
      </c>
      <c r="M18" s="13" t="s">
        <v>154</v>
      </c>
      <c r="N18" s="32"/>
      <c r="O18" s="32"/>
      <c r="P18" s="32"/>
      <c r="Q18" s="32"/>
      <c r="R18" s="32"/>
      <c r="S18" s="32"/>
      <c r="T18" s="17" t="str">
        <f t="shared" si="2"/>
        <v/>
      </c>
    </row>
    <row r="19" ht="123.75" customHeight="1">
      <c r="A19" s="13" t="s">
        <v>117</v>
      </c>
      <c r="B19" s="13" t="str">
        <f t="shared" si="1"/>
        <v>DKV-PC-0018-26</v>
      </c>
      <c r="C19" s="31" t="s">
        <v>224</v>
      </c>
      <c r="D19" s="32" t="s">
        <v>145</v>
      </c>
      <c r="E19" s="32" t="s">
        <v>147</v>
      </c>
      <c r="F19" s="32" t="s">
        <v>149</v>
      </c>
      <c r="G19" s="32" t="s">
        <v>150</v>
      </c>
      <c r="H19" s="32" t="s">
        <v>28</v>
      </c>
      <c r="I19" s="32" t="s">
        <v>28</v>
      </c>
      <c r="J19" s="32" t="s">
        <v>151</v>
      </c>
      <c r="K19" s="32" t="s">
        <v>152</v>
      </c>
      <c r="L19" s="32" t="s">
        <v>36</v>
      </c>
      <c r="M19" s="13" t="s">
        <v>154</v>
      </c>
      <c r="N19" s="32"/>
      <c r="O19" s="32"/>
      <c r="P19" s="32"/>
      <c r="Q19" s="32"/>
      <c r="R19" s="32"/>
      <c r="S19" s="32"/>
      <c r="T19" s="17" t="str">
        <f t="shared" si="2"/>
        <v/>
      </c>
    </row>
    <row r="20" ht="123.75" customHeight="1">
      <c r="A20" s="13" t="s">
        <v>124</v>
      </c>
      <c r="B20" s="13" t="str">
        <f t="shared" si="1"/>
        <v>DKV-PC-0019-26</v>
      </c>
      <c r="C20" s="9" t="s">
        <v>230</v>
      </c>
      <c r="D20" s="13" t="s">
        <v>64</v>
      </c>
      <c r="E20" s="13" t="s">
        <v>23</v>
      </c>
      <c r="F20" s="13" t="s">
        <v>231</v>
      </c>
      <c r="G20" s="13" t="s">
        <v>26</v>
      </c>
      <c r="H20" s="13" t="s">
        <v>28</v>
      </c>
      <c r="I20" s="13" t="s">
        <v>28</v>
      </c>
      <c r="J20" s="13" t="s">
        <v>30</v>
      </c>
      <c r="K20" s="13" t="s">
        <v>35</v>
      </c>
      <c r="L20" s="13" t="s">
        <v>36</v>
      </c>
      <c r="M20" s="13" t="s">
        <v>37</v>
      </c>
      <c r="N20" s="13"/>
      <c r="O20" s="13"/>
      <c r="P20" s="13"/>
      <c r="Q20" s="13"/>
      <c r="R20" s="13"/>
      <c r="S20" s="13"/>
      <c r="T20" s="17" t="str">
        <f t="shared" si="2"/>
        <v/>
      </c>
    </row>
    <row r="21" ht="123.75" customHeight="1">
      <c r="A21" s="13" t="s">
        <v>126</v>
      </c>
      <c r="B21" s="13" t="str">
        <f t="shared" si="1"/>
        <v>DKV-PC-0020-26</v>
      </c>
      <c r="C21" s="9" t="s">
        <v>237</v>
      </c>
      <c r="D21" s="13" t="s">
        <v>64</v>
      </c>
      <c r="E21" s="13" t="s">
        <v>238</v>
      </c>
      <c r="F21" s="13" t="s">
        <v>231</v>
      </c>
      <c r="G21" s="13" t="s">
        <v>26</v>
      </c>
      <c r="H21" s="13" t="s">
        <v>28</v>
      </c>
      <c r="I21" s="13" t="s">
        <v>28</v>
      </c>
      <c r="J21" s="13" t="s">
        <v>30</v>
      </c>
      <c r="K21" s="13" t="s">
        <v>240</v>
      </c>
      <c r="L21" s="13" t="s">
        <v>36</v>
      </c>
      <c r="M21" s="13" t="s">
        <v>37</v>
      </c>
      <c r="N21" s="13"/>
      <c r="O21" s="13"/>
      <c r="P21" s="13"/>
      <c r="Q21" s="13"/>
      <c r="R21" s="13"/>
      <c r="S21" s="13"/>
      <c r="T21" s="17" t="str">
        <f t="shared" si="2"/>
        <v/>
      </c>
    </row>
    <row r="22" ht="123.75" customHeight="1">
      <c r="A22" s="13" t="s">
        <v>129</v>
      </c>
      <c r="B22" s="13" t="str">
        <f t="shared" si="1"/>
        <v>DKV-PC-0021-26</v>
      </c>
      <c r="C22" s="31" t="s">
        <v>244</v>
      </c>
      <c r="D22" s="32" t="s">
        <v>145</v>
      </c>
      <c r="E22" s="32" t="s">
        <v>147</v>
      </c>
      <c r="F22" s="32" t="s">
        <v>149</v>
      </c>
      <c r="G22" s="32" t="s">
        <v>150</v>
      </c>
      <c r="H22" s="32" t="s">
        <v>28</v>
      </c>
      <c r="I22" s="32" t="s">
        <v>28</v>
      </c>
      <c r="J22" s="32" t="s">
        <v>151</v>
      </c>
      <c r="K22" s="32" t="s">
        <v>152</v>
      </c>
      <c r="L22" s="32" t="s">
        <v>36</v>
      </c>
      <c r="M22" s="13" t="s">
        <v>154</v>
      </c>
      <c r="N22" s="32"/>
      <c r="O22" s="32"/>
      <c r="P22" s="32"/>
      <c r="Q22" s="32"/>
      <c r="R22" s="32"/>
      <c r="S22" s="32"/>
      <c r="T22" s="17" t="str">
        <f t="shared" si="2"/>
        <v/>
      </c>
    </row>
    <row r="23" ht="123.75" customHeight="1">
      <c r="A23" s="13" t="s">
        <v>136</v>
      </c>
      <c r="B23" s="13" t="str">
        <f t="shared" si="1"/>
        <v>DKV-PC-0022-26</v>
      </c>
      <c r="C23" s="31" t="s">
        <v>245</v>
      </c>
      <c r="D23" s="32" t="s">
        <v>145</v>
      </c>
      <c r="E23" s="32" t="s">
        <v>147</v>
      </c>
      <c r="F23" s="32" t="s">
        <v>149</v>
      </c>
      <c r="G23" s="32" t="s">
        <v>150</v>
      </c>
      <c r="H23" s="32" t="s">
        <v>28</v>
      </c>
      <c r="I23" s="32" t="s">
        <v>28</v>
      </c>
      <c r="J23" s="32" t="s">
        <v>151</v>
      </c>
      <c r="K23" s="32" t="s">
        <v>152</v>
      </c>
      <c r="L23" s="32" t="s">
        <v>36</v>
      </c>
      <c r="M23" s="13" t="s">
        <v>154</v>
      </c>
      <c r="N23" s="32"/>
      <c r="O23" s="32"/>
      <c r="P23" s="32"/>
      <c r="Q23" s="32"/>
      <c r="R23" s="32"/>
      <c r="S23" s="32"/>
      <c r="T23" s="17" t="str">
        <f t="shared" si="2"/>
        <v/>
      </c>
    </row>
    <row r="24" ht="123.75" customHeight="1">
      <c r="A24" s="13" t="s">
        <v>140</v>
      </c>
      <c r="B24" s="13" t="str">
        <f t="shared" si="1"/>
        <v>DKV-PC-0023-26</v>
      </c>
      <c r="C24" s="9" t="s">
        <v>250</v>
      </c>
      <c r="D24" s="13" t="s">
        <v>64</v>
      </c>
      <c r="E24" s="13" t="s">
        <v>238</v>
      </c>
      <c r="F24" s="13" t="s">
        <v>251</v>
      </c>
      <c r="G24" s="13" t="s">
        <v>26</v>
      </c>
      <c r="H24" s="13" t="s">
        <v>28</v>
      </c>
      <c r="I24" s="13" t="s">
        <v>28</v>
      </c>
      <c r="J24" s="13" t="s">
        <v>30</v>
      </c>
      <c r="K24" s="13" t="s">
        <v>240</v>
      </c>
      <c r="L24" s="13" t="s">
        <v>36</v>
      </c>
      <c r="M24" s="13" t="s">
        <v>37</v>
      </c>
      <c r="N24" s="13"/>
      <c r="O24" s="13"/>
      <c r="P24" s="13"/>
      <c r="Q24" s="13"/>
      <c r="R24" s="13"/>
      <c r="S24" s="13"/>
      <c r="T24" s="17" t="str">
        <f t="shared" si="2"/>
        <v/>
      </c>
    </row>
    <row r="25" ht="123.75" customHeight="1">
      <c r="A25" s="13" t="s">
        <v>153</v>
      </c>
      <c r="B25" s="13" t="str">
        <f t="shared" si="1"/>
        <v>DKV-PC-0024-26</v>
      </c>
      <c r="C25" s="9" t="s">
        <v>254</v>
      </c>
      <c r="D25" s="13" t="s">
        <v>64</v>
      </c>
      <c r="E25" s="13" t="s">
        <v>238</v>
      </c>
      <c r="F25" s="13" t="s">
        <v>251</v>
      </c>
      <c r="G25" s="13" t="s">
        <v>26</v>
      </c>
      <c r="H25" s="13" t="s">
        <v>28</v>
      </c>
      <c r="I25" s="13" t="s">
        <v>28</v>
      </c>
      <c r="J25" s="13" t="s">
        <v>30</v>
      </c>
      <c r="K25" s="13" t="s">
        <v>240</v>
      </c>
      <c r="L25" s="13" t="s">
        <v>36</v>
      </c>
      <c r="M25" s="13" t="s">
        <v>37</v>
      </c>
      <c r="N25" s="13"/>
      <c r="O25" s="13"/>
      <c r="P25" s="13"/>
      <c r="Q25" s="13"/>
      <c r="R25" s="13"/>
      <c r="S25" s="13"/>
      <c r="T25" s="17" t="str">
        <f t="shared" si="2"/>
        <v/>
      </c>
    </row>
    <row r="26" ht="123.75" customHeight="1">
      <c r="A26" s="13" t="s">
        <v>161</v>
      </c>
      <c r="B26" s="13" t="str">
        <f t="shared" si="1"/>
        <v>DKV-PC-0025-26</v>
      </c>
      <c r="C26" s="9" t="s">
        <v>256</v>
      </c>
      <c r="D26" s="13" t="s">
        <v>64</v>
      </c>
      <c r="E26" s="13" t="s">
        <v>23</v>
      </c>
      <c r="F26" s="13" t="s">
        <v>231</v>
      </c>
      <c r="G26" s="13" t="s">
        <v>26</v>
      </c>
      <c r="H26" s="13" t="s">
        <v>28</v>
      </c>
      <c r="I26" s="13" t="s">
        <v>28</v>
      </c>
      <c r="J26" s="13" t="s">
        <v>30</v>
      </c>
      <c r="K26" s="13" t="s">
        <v>35</v>
      </c>
      <c r="L26" s="13" t="s">
        <v>36</v>
      </c>
      <c r="M26" s="13" t="s">
        <v>37</v>
      </c>
      <c r="N26" s="13"/>
      <c r="O26" s="13"/>
      <c r="P26" s="13"/>
      <c r="Q26" s="13"/>
      <c r="R26" s="13"/>
      <c r="S26" s="13"/>
      <c r="T26" s="17" t="str">
        <f t="shared" si="2"/>
        <v/>
      </c>
    </row>
    <row r="27" ht="123.75" customHeight="1">
      <c r="A27" s="13" t="s">
        <v>164</v>
      </c>
      <c r="B27" s="13" t="str">
        <f t="shared" si="1"/>
        <v>DKV-PC-0026-26</v>
      </c>
      <c r="C27" s="9" t="s">
        <v>259</v>
      </c>
      <c r="D27" s="13" t="s">
        <v>64</v>
      </c>
      <c r="E27" s="13" t="s">
        <v>238</v>
      </c>
      <c r="F27" s="13" t="s">
        <v>231</v>
      </c>
      <c r="G27" s="13" t="s">
        <v>26</v>
      </c>
      <c r="H27" s="13" t="s">
        <v>28</v>
      </c>
      <c r="I27" s="13" t="s">
        <v>28</v>
      </c>
      <c r="J27" s="13" t="s">
        <v>30</v>
      </c>
      <c r="K27" s="13" t="s">
        <v>35</v>
      </c>
      <c r="L27" s="13" t="s">
        <v>36</v>
      </c>
      <c r="M27" s="13" t="s">
        <v>37</v>
      </c>
      <c r="N27" s="13"/>
      <c r="O27" s="13"/>
      <c r="P27" s="13"/>
      <c r="Q27" s="13"/>
      <c r="R27" s="13"/>
      <c r="S27" s="13"/>
      <c r="T27" s="17" t="str">
        <f t="shared" si="2"/>
        <v/>
      </c>
    </row>
    <row r="28" ht="111.75" customHeight="1">
      <c r="A28" s="13" t="s">
        <v>170</v>
      </c>
      <c r="B28" s="13" t="str">
        <f t="shared" si="1"/>
        <v>DKV-PC-0027-26</v>
      </c>
      <c r="C28" s="9" t="s">
        <v>260</v>
      </c>
      <c r="D28" s="13" t="s">
        <v>174</v>
      </c>
      <c r="E28" s="13" t="s">
        <v>147</v>
      </c>
      <c r="F28" s="13" t="s">
        <v>25</v>
      </c>
      <c r="G28" s="13" t="s">
        <v>26</v>
      </c>
      <c r="H28" s="13" t="s">
        <v>28</v>
      </c>
      <c r="I28" s="13" t="s">
        <v>28</v>
      </c>
      <c r="J28" s="13" t="s">
        <v>261</v>
      </c>
      <c r="K28" s="13" t="s">
        <v>262</v>
      </c>
      <c r="L28" s="13" t="s">
        <v>36</v>
      </c>
      <c r="M28" s="13" t="s">
        <v>263</v>
      </c>
      <c r="N28" s="13"/>
      <c r="O28" s="13"/>
      <c r="P28" s="13"/>
      <c r="Q28" s="13"/>
      <c r="R28" s="13"/>
      <c r="S28" s="13"/>
      <c r="T28" s="17" t="str">
        <f t="shared" si="2"/>
        <v/>
      </c>
    </row>
    <row r="29" ht="111.75" customHeight="1">
      <c r="A29" s="13" t="s">
        <v>176</v>
      </c>
      <c r="B29" s="13" t="str">
        <f t="shared" si="1"/>
        <v>DKV-PC-0028-26</v>
      </c>
      <c r="C29" s="9" t="s">
        <v>265</v>
      </c>
      <c r="D29" s="13" t="s">
        <v>257</v>
      </c>
      <c r="E29" s="13" t="s">
        <v>23</v>
      </c>
      <c r="F29" s="13" t="s">
        <v>25</v>
      </c>
      <c r="G29" s="13" t="s">
        <v>26</v>
      </c>
      <c r="H29" s="13" t="s">
        <v>28</v>
      </c>
      <c r="I29" s="13" t="s">
        <v>28</v>
      </c>
      <c r="J29" s="13" t="s">
        <v>34</v>
      </c>
      <c r="K29" s="13" t="s">
        <v>201</v>
      </c>
      <c r="L29" s="13" t="s">
        <v>36</v>
      </c>
      <c r="M29" s="13" t="s">
        <v>228</v>
      </c>
      <c r="N29" s="13"/>
      <c r="O29" s="13"/>
      <c r="P29" s="13"/>
      <c r="Q29" s="13"/>
      <c r="R29" s="13"/>
      <c r="S29" s="13"/>
      <c r="T29" s="17" t="str">
        <f t="shared" si="2"/>
        <v/>
      </c>
    </row>
    <row r="30" ht="14.25" customHeight="1">
      <c r="C30" s="39"/>
      <c r="T30" s="2"/>
    </row>
    <row r="31" ht="14.25" customHeight="1">
      <c r="C31" s="39"/>
      <c r="T31" s="2"/>
    </row>
    <row r="32" ht="14.25" customHeight="1">
      <c r="C32" s="40" t="s">
        <v>269</v>
      </c>
      <c r="T32" s="2"/>
    </row>
    <row r="33" ht="14.25" customHeight="1">
      <c r="C33" s="41" t="s">
        <v>270</v>
      </c>
      <c r="T33" s="2"/>
    </row>
    <row r="34" ht="14.25" customHeight="1">
      <c r="C34" s="39"/>
      <c r="T34" s="2"/>
    </row>
    <row r="35" ht="14.25" customHeight="1">
      <c r="C35" s="41" t="s">
        <v>271</v>
      </c>
      <c r="T35" s="2"/>
    </row>
    <row r="36" ht="14.25" customHeight="1">
      <c r="C36" s="39"/>
      <c r="T36" s="2"/>
    </row>
    <row r="37" ht="14.25" customHeight="1">
      <c r="C37" s="39"/>
      <c r="T37" s="2"/>
    </row>
    <row r="38" ht="14.25" customHeight="1">
      <c r="C38" s="39"/>
      <c r="T38" s="2"/>
    </row>
    <row r="39" ht="14.25" customHeight="1">
      <c r="C39" s="39"/>
      <c r="T39" s="2"/>
    </row>
    <row r="40" ht="14.25" customHeight="1">
      <c r="C40" s="39"/>
      <c r="T40" s="2"/>
    </row>
    <row r="41" ht="14.25" customHeight="1">
      <c r="C41" s="39"/>
      <c r="T41" s="2"/>
    </row>
    <row r="42" ht="14.25" customHeight="1">
      <c r="C42" s="39"/>
      <c r="T42" s="2"/>
    </row>
    <row r="43" ht="14.25" customHeight="1">
      <c r="C43" s="39"/>
      <c r="T43" s="2"/>
    </row>
    <row r="44" ht="14.25" customHeight="1">
      <c r="C44" s="39"/>
      <c r="T44" s="2"/>
    </row>
    <row r="45" ht="14.25" customHeight="1">
      <c r="C45" s="39"/>
      <c r="T45" s="2"/>
    </row>
    <row r="46" ht="14.25" customHeight="1">
      <c r="C46" s="39"/>
      <c r="T46" s="2"/>
    </row>
    <row r="47" ht="14.25" customHeight="1">
      <c r="C47" s="39"/>
      <c r="T47" s="2"/>
    </row>
    <row r="48" ht="14.25" customHeight="1">
      <c r="C48" s="39"/>
      <c r="T48" s="2"/>
    </row>
    <row r="49" ht="14.25" customHeight="1">
      <c r="C49" s="39"/>
      <c r="T49" s="2"/>
    </row>
    <row r="50" ht="14.25" customHeight="1">
      <c r="C50" s="39"/>
      <c r="T50" s="2"/>
    </row>
    <row r="51" ht="14.25" customHeight="1">
      <c r="C51" s="39"/>
      <c r="T51" s="2"/>
    </row>
    <row r="52" ht="14.25" customHeight="1">
      <c r="C52" s="39"/>
      <c r="T52" s="2"/>
    </row>
    <row r="53" ht="14.25" customHeight="1">
      <c r="C53" s="39"/>
      <c r="T53" s="2"/>
    </row>
    <row r="54" ht="14.25" customHeight="1">
      <c r="C54" s="39"/>
      <c r="T54" s="2"/>
    </row>
    <row r="55" ht="14.25" customHeight="1">
      <c r="C55" s="39"/>
      <c r="T55" s="2"/>
    </row>
    <row r="56" ht="14.25" customHeight="1">
      <c r="C56" s="39"/>
      <c r="T56" s="2"/>
    </row>
    <row r="57" ht="14.25" customHeight="1">
      <c r="C57" s="39"/>
      <c r="T57" s="2"/>
    </row>
    <row r="58" ht="14.25" customHeight="1">
      <c r="C58" s="39"/>
      <c r="T58" s="2"/>
    </row>
    <row r="59" ht="14.25" customHeight="1">
      <c r="C59" s="39"/>
      <c r="T59" s="2"/>
    </row>
    <row r="60" ht="14.25" customHeight="1">
      <c r="C60" s="39"/>
      <c r="T60" s="2"/>
    </row>
    <row r="61" ht="14.25" customHeight="1">
      <c r="C61" s="39"/>
      <c r="T61" s="2"/>
    </row>
    <row r="62" ht="14.25" customHeight="1">
      <c r="C62" s="39"/>
      <c r="T62" s="2"/>
    </row>
    <row r="63" ht="14.25" customHeight="1">
      <c r="C63" s="39"/>
      <c r="T63" s="2"/>
    </row>
    <row r="64" ht="14.25" customHeight="1">
      <c r="C64" s="39"/>
      <c r="T64" s="2"/>
    </row>
    <row r="65" ht="14.25" customHeight="1">
      <c r="C65" s="39"/>
      <c r="T65" s="2"/>
    </row>
    <row r="66" ht="14.25" customHeight="1">
      <c r="C66" s="39"/>
      <c r="T66" s="2"/>
    </row>
    <row r="67" ht="14.25" customHeight="1">
      <c r="C67" s="39"/>
      <c r="T67" s="2"/>
    </row>
    <row r="68" ht="14.25" customHeight="1">
      <c r="C68" s="39"/>
      <c r="T68" s="2"/>
    </row>
    <row r="69" ht="14.25" customHeight="1">
      <c r="C69" s="39"/>
      <c r="T69" s="2"/>
    </row>
    <row r="70" ht="14.25" customHeight="1">
      <c r="C70" s="39"/>
      <c r="T70" s="2"/>
    </row>
    <row r="71" ht="14.25" customHeight="1">
      <c r="C71" s="39"/>
      <c r="T71" s="2"/>
    </row>
    <row r="72" ht="14.25" customHeight="1">
      <c r="C72" s="39"/>
      <c r="T72" s="2"/>
    </row>
    <row r="73" ht="14.25" customHeight="1">
      <c r="C73" s="39"/>
      <c r="T73" s="2"/>
    </row>
    <row r="74" ht="14.25" customHeight="1">
      <c r="C74" s="39"/>
      <c r="T74" s="2"/>
    </row>
    <row r="75" ht="14.25" customHeight="1">
      <c r="C75" s="39"/>
      <c r="T75" s="2"/>
    </row>
    <row r="76" ht="14.25" customHeight="1">
      <c r="C76" s="39"/>
      <c r="T76" s="2"/>
    </row>
    <row r="77" ht="14.25" customHeight="1">
      <c r="C77" s="39"/>
      <c r="T77" s="2"/>
    </row>
    <row r="78" ht="14.25" customHeight="1">
      <c r="C78" s="39"/>
      <c r="T78" s="2"/>
    </row>
    <row r="79" ht="14.25" customHeight="1">
      <c r="C79" s="39"/>
      <c r="T79" s="2"/>
    </row>
    <row r="80" ht="14.25" customHeight="1">
      <c r="C80" s="39"/>
      <c r="T80" s="2"/>
    </row>
    <row r="81" ht="14.25" customHeight="1">
      <c r="C81" s="39"/>
      <c r="T81" s="2"/>
    </row>
    <row r="82" ht="14.25" customHeight="1">
      <c r="C82" s="39"/>
      <c r="T82" s="2"/>
    </row>
    <row r="83" ht="14.25" customHeight="1">
      <c r="C83" s="39"/>
      <c r="T83" s="2"/>
    </row>
    <row r="84" ht="14.25" customHeight="1">
      <c r="C84" s="39"/>
      <c r="T84" s="2"/>
    </row>
    <row r="85" ht="14.25" customHeight="1">
      <c r="C85" s="39"/>
      <c r="T85" s="2"/>
    </row>
    <row r="86" ht="14.25" customHeight="1">
      <c r="C86" s="39"/>
      <c r="T86" s="2"/>
    </row>
    <row r="87" ht="14.25" customHeight="1">
      <c r="C87" s="39"/>
      <c r="T87" s="2"/>
    </row>
    <row r="88" ht="14.25" customHeight="1">
      <c r="C88" s="39"/>
      <c r="T88" s="2"/>
    </row>
    <row r="89" ht="14.25" customHeight="1">
      <c r="C89" s="39"/>
      <c r="T89" s="2"/>
    </row>
    <row r="90" ht="14.25" customHeight="1">
      <c r="C90" s="39"/>
      <c r="T90" s="2"/>
    </row>
    <row r="91" ht="14.25" customHeight="1">
      <c r="C91" s="39"/>
      <c r="T91" s="2"/>
    </row>
    <row r="92" ht="14.25" customHeight="1">
      <c r="C92" s="39"/>
      <c r="T92" s="2"/>
    </row>
    <row r="93" ht="14.25" customHeight="1">
      <c r="C93" s="39"/>
      <c r="T93" s="2"/>
    </row>
    <row r="94" ht="14.25" customHeight="1">
      <c r="C94" s="39"/>
      <c r="T94" s="2"/>
    </row>
    <row r="95" ht="14.25" customHeight="1">
      <c r="C95" s="39"/>
      <c r="T95" s="2"/>
    </row>
    <row r="96" ht="14.25" customHeight="1">
      <c r="C96" s="39"/>
      <c r="T96" s="2"/>
    </row>
    <row r="97" ht="14.25" customHeight="1">
      <c r="C97" s="39"/>
      <c r="T97" s="2"/>
    </row>
    <row r="98" ht="14.25" customHeight="1">
      <c r="C98" s="39"/>
      <c r="T98" s="2"/>
    </row>
    <row r="99" ht="14.25" customHeight="1">
      <c r="C99" s="39"/>
      <c r="T99" s="2"/>
    </row>
    <row r="100" ht="14.25" customHeight="1">
      <c r="C100" s="39"/>
      <c r="T100" s="2"/>
    </row>
    <row r="101" ht="14.25" customHeight="1">
      <c r="C101" s="39"/>
      <c r="T101" s="2"/>
    </row>
    <row r="102" ht="14.25" customHeight="1">
      <c r="C102" s="39"/>
      <c r="T102" s="2"/>
    </row>
    <row r="103" ht="14.25" customHeight="1">
      <c r="C103" s="39"/>
      <c r="T103" s="2"/>
    </row>
    <row r="104" ht="14.25" customHeight="1">
      <c r="C104" s="39"/>
      <c r="T104" s="2"/>
    </row>
    <row r="105" ht="14.25" customHeight="1">
      <c r="C105" s="39"/>
      <c r="T105" s="2"/>
    </row>
    <row r="106" ht="14.25" customHeight="1">
      <c r="C106" s="39"/>
      <c r="T106" s="2"/>
    </row>
    <row r="107" ht="14.25" customHeight="1">
      <c r="C107" s="39"/>
      <c r="T107" s="2"/>
    </row>
    <row r="108" ht="14.25" customHeight="1">
      <c r="C108" s="39"/>
      <c r="T108" s="2"/>
    </row>
    <row r="109" ht="14.25" customHeight="1">
      <c r="C109" s="39"/>
      <c r="T109" s="2"/>
    </row>
    <row r="110" ht="14.25" customHeight="1">
      <c r="C110" s="39"/>
      <c r="T110" s="2"/>
    </row>
    <row r="111" ht="14.25" customHeight="1">
      <c r="C111" s="39"/>
      <c r="T111" s="2"/>
    </row>
    <row r="112" ht="14.25" customHeight="1">
      <c r="C112" s="39"/>
      <c r="T112" s="2"/>
    </row>
    <row r="113" ht="14.25" customHeight="1">
      <c r="C113" s="39"/>
      <c r="T113" s="2"/>
    </row>
    <row r="114" ht="14.25" customHeight="1">
      <c r="C114" s="39"/>
      <c r="T114" s="2"/>
    </row>
    <row r="115" ht="14.25" customHeight="1">
      <c r="C115" s="39"/>
      <c r="T115" s="2"/>
    </row>
    <row r="116" ht="14.25" customHeight="1">
      <c r="C116" s="39"/>
      <c r="T116" s="2"/>
    </row>
    <row r="117" ht="14.25" customHeight="1">
      <c r="C117" s="39"/>
      <c r="T117" s="2"/>
    </row>
    <row r="118" ht="14.25" customHeight="1">
      <c r="C118" s="39"/>
      <c r="T118" s="2"/>
    </row>
    <row r="119" ht="14.25" customHeight="1">
      <c r="C119" s="39"/>
      <c r="T119" s="2"/>
    </row>
    <row r="120" ht="14.25" customHeight="1">
      <c r="C120" s="39"/>
      <c r="T120" s="2"/>
    </row>
    <row r="121" ht="14.25" customHeight="1">
      <c r="C121" s="39"/>
      <c r="T121" s="2"/>
    </row>
    <row r="122" ht="14.25" customHeight="1">
      <c r="C122" s="39"/>
      <c r="T122" s="2"/>
    </row>
    <row r="123" ht="14.25" customHeight="1">
      <c r="C123" s="39"/>
      <c r="T123" s="2"/>
    </row>
    <row r="124" ht="14.25" customHeight="1">
      <c r="C124" s="39"/>
      <c r="T124" s="2"/>
    </row>
    <row r="125" ht="14.25" customHeight="1">
      <c r="C125" s="39"/>
      <c r="T125" s="2"/>
    </row>
    <row r="126" ht="14.25" customHeight="1">
      <c r="C126" s="39"/>
      <c r="T126" s="2"/>
    </row>
    <row r="127" ht="14.25" customHeight="1">
      <c r="C127" s="39"/>
      <c r="T127" s="2"/>
    </row>
    <row r="128" ht="14.25" customHeight="1">
      <c r="C128" s="39"/>
      <c r="T128" s="2"/>
    </row>
    <row r="129" ht="14.25" customHeight="1">
      <c r="C129" s="39"/>
      <c r="T129" s="2"/>
    </row>
    <row r="130" ht="14.25" customHeight="1">
      <c r="C130" s="39"/>
      <c r="T130" s="2"/>
    </row>
    <row r="131" ht="14.25" customHeight="1">
      <c r="C131" s="39"/>
      <c r="T131" s="2"/>
    </row>
    <row r="132" ht="14.25" customHeight="1">
      <c r="C132" s="39"/>
      <c r="T132" s="2"/>
    </row>
    <row r="133" ht="14.25" customHeight="1">
      <c r="C133" s="39"/>
      <c r="T133" s="2"/>
    </row>
    <row r="134" ht="14.25" customHeight="1">
      <c r="C134" s="39"/>
      <c r="T134" s="2"/>
    </row>
    <row r="135" ht="14.25" customHeight="1">
      <c r="C135" s="39"/>
      <c r="T135" s="2"/>
    </row>
    <row r="136" ht="14.25" customHeight="1">
      <c r="C136" s="39"/>
      <c r="T136" s="2"/>
    </row>
    <row r="137" ht="14.25" customHeight="1">
      <c r="C137" s="39"/>
      <c r="T137" s="2"/>
    </row>
    <row r="138" ht="14.25" customHeight="1">
      <c r="C138" s="39"/>
      <c r="T138" s="2"/>
    </row>
    <row r="139" ht="14.25" customHeight="1">
      <c r="C139" s="39"/>
      <c r="T139" s="2"/>
    </row>
    <row r="140" ht="14.25" customHeight="1">
      <c r="C140" s="39"/>
      <c r="T140" s="2"/>
    </row>
    <row r="141" ht="14.25" customHeight="1">
      <c r="C141" s="39"/>
      <c r="T141" s="2"/>
    </row>
    <row r="142" ht="14.25" customHeight="1">
      <c r="C142" s="39"/>
      <c r="T142" s="2"/>
    </row>
    <row r="143" ht="14.25" customHeight="1">
      <c r="C143" s="39"/>
      <c r="T143" s="2"/>
    </row>
    <row r="144" ht="14.25" customHeight="1">
      <c r="C144" s="39"/>
      <c r="T144" s="2"/>
    </row>
    <row r="145" ht="14.25" customHeight="1">
      <c r="C145" s="39"/>
      <c r="T145" s="2"/>
    </row>
    <row r="146" ht="14.25" customHeight="1">
      <c r="C146" s="39"/>
      <c r="T146" s="2"/>
    </row>
    <row r="147" ht="14.25" customHeight="1">
      <c r="C147" s="39"/>
      <c r="T147" s="2"/>
    </row>
    <row r="148" ht="14.25" customHeight="1">
      <c r="C148" s="39"/>
      <c r="T148" s="2"/>
    </row>
    <row r="149" ht="14.25" customHeight="1">
      <c r="C149" s="39"/>
      <c r="T149" s="2"/>
    </row>
    <row r="150" ht="14.25" customHeight="1">
      <c r="C150" s="39"/>
      <c r="T150" s="2"/>
    </row>
    <row r="151" ht="14.25" customHeight="1">
      <c r="C151" s="39"/>
      <c r="T151" s="2"/>
    </row>
    <row r="152" ht="14.25" customHeight="1">
      <c r="C152" s="39"/>
      <c r="T152" s="2"/>
    </row>
    <row r="153" ht="14.25" customHeight="1">
      <c r="C153" s="39"/>
      <c r="T153" s="2"/>
    </row>
    <row r="154" ht="14.25" customHeight="1">
      <c r="C154" s="39"/>
      <c r="T154" s="2"/>
    </row>
    <row r="155" ht="14.25" customHeight="1">
      <c r="C155" s="39"/>
      <c r="T155" s="2"/>
    </row>
    <row r="156" ht="14.25" customHeight="1">
      <c r="C156" s="39"/>
      <c r="T156" s="2"/>
    </row>
    <row r="157" ht="14.25" customHeight="1">
      <c r="C157" s="39"/>
      <c r="T157" s="2"/>
    </row>
    <row r="158" ht="14.25" customHeight="1">
      <c r="C158" s="39"/>
      <c r="T158" s="2"/>
    </row>
    <row r="159" ht="14.25" customHeight="1">
      <c r="C159" s="39"/>
      <c r="T159" s="2"/>
    </row>
    <row r="160" ht="14.25" customHeight="1">
      <c r="C160" s="39"/>
      <c r="T160" s="2"/>
    </row>
    <row r="161" ht="14.25" customHeight="1">
      <c r="C161" s="39"/>
      <c r="T161" s="2"/>
    </row>
    <row r="162" ht="14.25" customHeight="1">
      <c r="C162" s="39"/>
      <c r="T162" s="2"/>
    </row>
    <row r="163" ht="14.25" customHeight="1">
      <c r="C163" s="39"/>
      <c r="T163" s="2"/>
    </row>
    <row r="164" ht="14.25" customHeight="1">
      <c r="C164" s="39"/>
      <c r="T164" s="2"/>
    </row>
    <row r="165" ht="14.25" customHeight="1">
      <c r="C165" s="39"/>
      <c r="T165" s="2"/>
    </row>
    <row r="166" ht="14.25" customHeight="1">
      <c r="C166" s="39"/>
      <c r="T166" s="2"/>
    </row>
    <row r="167" ht="14.25" customHeight="1">
      <c r="C167" s="39"/>
      <c r="T167" s="2"/>
    </row>
    <row r="168" ht="14.25" customHeight="1">
      <c r="C168" s="39"/>
      <c r="T168" s="2"/>
    </row>
    <row r="169" ht="14.25" customHeight="1">
      <c r="C169" s="39"/>
      <c r="T169" s="2"/>
    </row>
    <row r="170" ht="14.25" customHeight="1">
      <c r="C170" s="39"/>
      <c r="T170" s="2"/>
    </row>
    <row r="171" ht="14.25" customHeight="1">
      <c r="C171" s="39"/>
      <c r="T171" s="2"/>
    </row>
    <row r="172" ht="14.25" customHeight="1">
      <c r="C172" s="39"/>
      <c r="T172" s="2"/>
    </row>
    <row r="173" ht="14.25" customHeight="1">
      <c r="C173" s="39"/>
      <c r="T173" s="2"/>
    </row>
    <row r="174" ht="14.25" customHeight="1">
      <c r="C174" s="39"/>
      <c r="T174" s="2"/>
    </row>
    <row r="175" ht="14.25" customHeight="1">
      <c r="C175" s="39"/>
      <c r="T175" s="2"/>
    </row>
    <row r="176" ht="14.25" customHeight="1">
      <c r="C176" s="39"/>
      <c r="T176" s="2"/>
    </row>
    <row r="177" ht="14.25" customHeight="1">
      <c r="C177" s="39"/>
      <c r="T177" s="2"/>
    </row>
    <row r="178" ht="14.25" customHeight="1">
      <c r="C178" s="39"/>
      <c r="T178" s="2"/>
    </row>
    <row r="179" ht="14.25" customHeight="1">
      <c r="C179" s="39"/>
      <c r="T179" s="2"/>
    </row>
    <row r="180" ht="14.25" customHeight="1">
      <c r="C180" s="39"/>
      <c r="T180" s="2"/>
    </row>
    <row r="181" ht="14.25" customHeight="1">
      <c r="C181" s="39"/>
      <c r="T181" s="2"/>
    </row>
    <row r="182" ht="14.25" customHeight="1">
      <c r="C182" s="39"/>
      <c r="T182" s="2"/>
    </row>
    <row r="183" ht="14.25" customHeight="1">
      <c r="C183" s="39"/>
      <c r="T183" s="2"/>
    </row>
    <row r="184" ht="14.25" customHeight="1">
      <c r="C184" s="39"/>
      <c r="T184" s="2"/>
    </row>
    <row r="185" ht="14.25" customHeight="1">
      <c r="C185" s="39"/>
      <c r="T185" s="2"/>
    </row>
    <row r="186" ht="14.25" customHeight="1">
      <c r="C186" s="39"/>
      <c r="T186" s="2"/>
    </row>
    <row r="187" ht="14.25" customHeight="1">
      <c r="C187" s="39"/>
      <c r="T187" s="2"/>
    </row>
    <row r="188" ht="14.25" customHeight="1">
      <c r="C188" s="39"/>
      <c r="T188" s="2"/>
    </row>
    <row r="189" ht="14.25" customHeight="1">
      <c r="C189" s="39"/>
      <c r="T189" s="2"/>
    </row>
    <row r="190" ht="14.25" customHeight="1">
      <c r="C190" s="39"/>
      <c r="T190" s="2"/>
    </row>
    <row r="191" ht="14.25" customHeight="1">
      <c r="C191" s="39"/>
      <c r="T191" s="2"/>
    </row>
    <row r="192" ht="14.25" customHeight="1">
      <c r="C192" s="39"/>
      <c r="T192" s="2"/>
    </row>
    <row r="193" ht="14.25" customHeight="1">
      <c r="C193" s="39"/>
      <c r="T193" s="2"/>
    </row>
    <row r="194" ht="14.25" customHeight="1">
      <c r="C194" s="39"/>
      <c r="T194" s="2"/>
    </row>
    <row r="195" ht="14.25" customHeight="1">
      <c r="C195" s="39"/>
      <c r="T195" s="2"/>
    </row>
    <row r="196" ht="14.25" customHeight="1">
      <c r="C196" s="39"/>
      <c r="T196" s="2"/>
    </row>
    <row r="197" ht="14.25" customHeight="1">
      <c r="C197" s="39"/>
      <c r="T197" s="2"/>
    </row>
    <row r="198" ht="14.25" customHeight="1">
      <c r="C198" s="39"/>
      <c r="T198" s="2"/>
    </row>
    <row r="199" ht="14.25" customHeight="1">
      <c r="C199" s="39"/>
      <c r="T199" s="2"/>
    </row>
    <row r="200" ht="14.25" customHeight="1">
      <c r="C200" s="39"/>
      <c r="T200" s="2"/>
    </row>
    <row r="201" ht="14.25" customHeight="1">
      <c r="C201" s="39"/>
      <c r="T201" s="2"/>
    </row>
    <row r="202" ht="14.25" customHeight="1">
      <c r="C202" s="39"/>
      <c r="T202" s="2"/>
    </row>
    <row r="203" ht="14.25" customHeight="1">
      <c r="C203" s="39"/>
      <c r="T203" s="2"/>
    </row>
    <row r="204" ht="14.25" customHeight="1">
      <c r="C204" s="39"/>
      <c r="T204" s="2"/>
    </row>
    <row r="205" ht="14.25" customHeight="1">
      <c r="C205" s="39"/>
      <c r="T205" s="2"/>
    </row>
    <row r="206" ht="14.25" customHeight="1">
      <c r="C206" s="39"/>
      <c r="T206" s="2"/>
    </row>
    <row r="207" ht="14.25" customHeight="1">
      <c r="C207" s="39"/>
      <c r="T207" s="2"/>
    </row>
    <row r="208" ht="14.25" customHeight="1">
      <c r="C208" s="39"/>
      <c r="T208" s="2"/>
    </row>
    <row r="209" ht="14.25" customHeight="1">
      <c r="C209" s="39"/>
      <c r="T209" s="2"/>
    </row>
    <row r="210" ht="14.25" customHeight="1">
      <c r="C210" s="39"/>
      <c r="T210" s="2"/>
    </row>
    <row r="211" ht="14.25" customHeight="1">
      <c r="C211" s="39"/>
      <c r="T211" s="2"/>
    </row>
    <row r="212" ht="14.25" customHeight="1">
      <c r="C212" s="39"/>
      <c r="T212" s="2"/>
    </row>
    <row r="213" ht="14.25" customHeight="1">
      <c r="C213" s="39"/>
      <c r="T213" s="2"/>
    </row>
    <row r="214" ht="14.25" customHeight="1">
      <c r="C214" s="39"/>
      <c r="T214" s="2"/>
    </row>
    <row r="215" ht="14.25" customHeight="1">
      <c r="C215" s="39"/>
      <c r="T215" s="2"/>
    </row>
    <row r="216" ht="14.25" customHeight="1">
      <c r="C216" s="39"/>
      <c r="T216" s="2"/>
    </row>
    <row r="217" ht="14.25" customHeight="1">
      <c r="C217" s="39"/>
      <c r="T217" s="2"/>
    </row>
    <row r="218" ht="14.25" customHeight="1">
      <c r="C218" s="39"/>
      <c r="T218" s="2"/>
    </row>
    <row r="219" ht="14.25" customHeight="1">
      <c r="C219" s="39"/>
      <c r="T219" s="2"/>
    </row>
    <row r="220" ht="14.25" customHeight="1">
      <c r="C220" s="39"/>
      <c r="T220" s="2"/>
    </row>
    <row r="221" ht="14.25" customHeight="1">
      <c r="C221" s="39"/>
      <c r="T221" s="2"/>
    </row>
    <row r="222" ht="14.25" customHeight="1">
      <c r="C222" s="39"/>
      <c r="T222" s="2"/>
    </row>
    <row r="223" ht="14.25" customHeight="1">
      <c r="C223" s="39"/>
      <c r="T223" s="2"/>
    </row>
    <row r="224" ht="14.25" customHeight="1">
      <c r="C224" s="39"/>
      <c r="T224" s="2"/>
    </row>
    <row r="225" ht="14.25" customHeight="1">
      <c r="C225" s="39"/>
      <c r="T225" s="2"/>
    </row>
    <row r="226" ht="14.25" customHeight="1">
      <c r="C226" s="39"/>
      <c r="T226" s="2"/>
    </row>
    <row r="227" ht="14.25" customHeight="1">
      <c r="C227" s="39"/>
      <c r="T227" s="2"/>
    </row>
    <row r="228" ht="14.25" customHeight="1">
      <c r="C228" s="39"/>
      <c r="T228" s="2"/>
    </row>
    <row r="229" ht="14.25" customHeight="1">
      <c r="C229" s="39"/>
      <c r="T229" s="2"/>
    </row>
    <row r="230" ht="14.25" customHeight="1">
      <c r="C230" s="39"/>
      <c r="T230" s="2"/>
    </row>
    <row r="231" ht="14.25" customHeight="1">
      <c r="C231" s="39"/>
      <c r="T231" s="2"/>
    </row>
    <row r="232" ht="14.25" customHeight="1">
      <c r="C232" s="39"/>
      <c r="T232" s="2"/>
    </row>
    <row r="233" ht="14.25" customHeight="1">
      <c r="C233" s="39"/>
      <c r="T233" s="2"/>
    </row>
    <row r="234" ht="14.25" customHeight="1">
      <c r="C234" s="39"/>
      <c r="T234" s="2"/>
    </row>
    <row r="235" ht="14.25" customHeight="1">
      <c r="C235" s="39"/>
      <c r="T235" s="2"/>
    </row>
    <row r="236" ht="14.25" customHeight="1">
      <c r="C236" s="39"/>
      <c r="T236" s="2"/>
    </row>
    <row r="237" ht="14.25" customHeight="1">
      <c r="C237" s="39"/>
      <c r="T237" s="2"/>
    </row>
    <row r="238" ht="14.25" customHeight="1">
      <c r="C238" s="39"/>
      <c r="T238" s="2"/>
    </row>
    <row r="239" ht="14.25" customHeight="1">
      <c r="C239" s="39"/>
      <c r="T239" s="2"/>
    </row>
    <row r="240" ht="14.25" customHeight="1">
      <c r="C240" s="39"/>
      <c r="T240" s="2"/>
    </row>
    <row r="241" ht="14.25" customHeight="1">
      <c r="C241" s="39"/>
      <c r="T241" s="2"/>
    </row>
    <row r="242" ht="14.25" customHeight="1">
      <c r="C242" s="39"/>
      <c r="T242" s="2"/>
    </row>
    <row r="243" ht="14.25" customHeight="1">
      <c r="C243" s="39"/>
      <c r="T243" s="2"/>
    </row>
    <row r="244" ht="14.25" customHeight="1">
      <c r="C244" s="39"/>
      <c r="T244" s="2"/>
    </row>
    <row r="245" ht="14.25" customHeight="1">
      <c r="C245" s="39"/>
      <c r="T245" s="2"/>
    </row>
    <row r="246" ht="14.25" customHeight="1">
      <c r="C246" s="39"/>
      <c r="T246" s="2"/>
    </row>
    <row r="247" ht="14.25" customHeight="1">
      <c r="C247" s="39"/>
      <c r="T247" s="2"/>
    </row>
    <row r="248" ht="14.25" customHeight="1">
      <c r="C248" s="39"/>
      <c r="T248" s="2"/>
    </row>
    <row r="249" ht="14.25" customHeight="1">
      <c r="C249" s="39"/>
      <c r="T249" s="2"/>
    </row>
    <row r="250" ht="14.25" customHeight="1">
      <c r="C250" s="39"/>
      <c r="T250" s="2"/>
    </row>
    <row r="251" ht="14.25" customHeight="1">
      <c r="C251" s="39"/>
      <c r="T251" s="2"/>
    </row>
    <row r="252" ht="14.25" customHeight="1">
      <c r="C252" s="39"/>
      <c r="T252" s="2"/>
    </row>
    <row r="253" ht="14.25" customHeight="1">
      <c r="C253" s="39"/>
      <c r="T253" s="2"/>
    </row>
    <row r="254" ht="14.25" customHeight="1">
      <c r="C254" s="39"/>
      <c r="T254" s="2"/>
    </row>
    <row r="255" ht="14.25" customHeight="1">
      <c r="C255" s="39"/>
      <c r="T255" s="2"/>
    </row>
    <row r="256" ht="14.25" customHeight="1">
      <c r="C256" s="39"/>
      <c r="T256" s="2"/>
    </row>
    <row r="257" ht="14.25" customHeight="1">
      <c r="C257" s="39"/>
      <c r="T257" s="2"/>
    </row>
    <row r="258" ht="14.25" customHeight="1">
      <c r="C258" s="39"/>
      <c r="T258" s="2"/>
    </row>
    <row r="259" ht="14.25" customHeight="1">
      <c r="C259" s="39"/>
      <c r="T259" s="2"/>
    </row>
    <row r="260" ht="14.25" customHeight="1">
      <c r="C260" s="39"/>
      <c r="T260" s="2"/>
    </row>
    <row r="261" ht="14.25" customHeight="1">
      <c r="C261" s="39"/>
      <c r="T261" s="2"/>
    </row>
    <row r="262" ht="14.25" customHeight="1">
      <c r="C262" s="39"/>
      <c r="T262" s="2"/>
    </row>
    <row r="263" ht="14.25" customHeight="1">
      <c r="C263" s="39"/>
      <c r="T263" s="2"/>
    </row>
    <row r="264" ht="14.25" customHeight="1">
      <c r="C264" s="39"/>
      <c r="T264" s="2"/>
    </row>
    <row r="265" ht="14.25" customHeight="1">
      <c r="C265" s="39"/>
      <c r="T265" s="2"/>
    </row>
    <row r="266" ht="14.25" customHeight="1">
      <c r="C266" s="39"/>
      <c r="T266" s="2"/>
    </row>
    <row r="267" ht="14.25" customHeight="1">
      <c r="C267" s="39"/>
      <c r="T267" s="2"/>
    </row>
    <row r="268" ht="14.25" customHeight="1">
      <c r="C268" s="39"/>
      <c r="T268" s="2"/>
    </row>
    <row r="269" ht="14.25" customHeight="1">
      <c r="C269" s="39"/>
      <c r="T269" s="2"/>
    </row>
    <row r="270" ht="14.25" customHeight="1">
      <c r="C270" s="39"/>
      <c r="T270" s="2"/>
    </row>
    <row r="271" ht="14.25" customHeight="1">
      <c r="C271" s="39"/>
      <c r="T271" s="2"/>
    </row>
    <row r="272" ht="14.25" customHeight="1">
      <c r="C272" s="39"/>
      <c r="T272" s="2"/>
    </row>
    <row r="273" ht="14.25" customHeight="1">
      <c r="C273" s="39"/>
      <c r="T273" s="2"/>
    </row>
    <row r="274" ht="14.25" customHeight="1">
      <c r="C274" s="39"/>
      <c r="T274" s="2"/>
    </row>
    <row r="275" ht="14.25" customHeight="1">
      <c r="C275" s="39"/>
      <c r="T275" s="2"/>
    </row>
    <row r="276" ht="14.25" customHeight="1">
      <c r="C276" s="39"/>
      <c r="T276" s="2"/>
    </row>
    <row r="277" ht="14.25" customHeight="1">
      <c r="C277" s="39"/>
      <c r="T277" s="2"/>
    </row>
    <row r="278" ht="14.25" customHeight="1">
      <c r="C278" s="39"/>
      <c r="T278" s="2"/>
    </row>
    <row r="279" ht="14.25" customHeight="1">
      <c r="C279" s="39"/>
      <c r="T279" s="2"/>
    </row>
    <row r="280" ht="14.25" customHeight="1">
      <c r="C280" s="39"/>
      <c r="T280" s="2"/>
    </row>
    <row r="281" ht="14.25" customHeight="1">
      <c r="C281" s="39"/>
      <c r="T281" s="2"/>
    </row>
    <row r="282" ht="14.25" customHeight="1">
      <c r="C282" s="39"/>
      <c r="T282" s="2"/>
    </row>
    <row r="283" ht="14.25" customHeight="1">
      <c r="C283" s="39"/>
      <c r="T283" s="2"/>
    </row>
    <row r="284" ht="14.25" customHeight="1">
      <c r="C284" s="39"/>
      <c r="T284" s="2"/>
    </row>
    <row r="285" ht="14.25" customHeight="1">
      <c r="C285" s="39"/>
      <c r="T285" s="2"/>
    </row>
    <row r="286" ht="14.25" customHeight="1">
      <c r="C286" s="39"/>
      <c r="T286" s="2"/>
    </row>
    <row r="287" ht="14.25" customHeight="1">
      <c r="C287" s="39"/>
      <c r="T287" s="2"/>
    </row>
    <row r="288" ht="14.25" customHeight="1">
      <c r="C288" s="39"/>
      <c r="T288" s="2"/>
    </row>
    <row r="289" ht="14.25" customHeight="1">
      <c r="C289" s="39"/>
      <c r="T289" s="2"/>
    </row>
    <row r="290" ht="14.25" customHeight="1">
      <c r="C290" s="39"/>
      <c r="T290" s="2"/>
    </row>
    <row r="291" ht="14.25" customHeight="1">
      <c r="C291" s="39"/>
      <c r="T291" s="2"/>
    </row>
    <row r="292" ht="14.25" customHeight="1">
      <c r="C292" s="39"/>
      <c r="T292" s="2"/>
    </row>
    <row r="293" ht="14.25" customHeight="1">
      <c r="C293" s="39"/>
      <c r="T293" s="2"/>
    </row>
    <row r="294" ht="14.25" customHeight="1">
      <c r="C294" s="39"/>
      <c r="T294" s="2"/>
    </row>
    <row r="295" ht="14.25" customHeight="1">
      <c r="C295" s="39"/>
      <c r="T295" s="2"/>
    </row>
    <row r="296" ht="14.25" customHeight="1">
      <c r="C296" s="39"/>
      <c r="T296" s="2"/>
    </row>
    <row r="297" ht="14.25" customHeight="1">
      <c r="C297" s="39"/>
      <c r="T297" s="2"/>
    </row>
    <row r="298" ht="14.25" customHeight="1">
      <c r="C298" s="39"/>
      <c r="T298" s="2"/>
    </row>
    <row r="299" ht="14.25" customHeight="1">
      <c r="C299" s="39"/>
      <c r="T299" s="2"/>
    </row>
    <row r="300" ht="14.25" customHeight="1">
      <c r="C300" s="39"/>
      <c r="T300" s="2"/>
    </row>
    <row r="301" ht="14.25" customHeight="1">
      <c r="C301" s="39"/>
      <c r="T301" s="2"/>
    </row>
    <row r="302" ht="14.25" customHeight="1">
      <c r="C302" s="39"/>
      <c r="T302" s="2"/>
    </row>
    <row r="303" ht="14.25" customHeight="1">
      <c r="C303" s="39"/>
      <c r="T303" s="2"/>
    </row>
    <row r="304" ht="14.25" customHeight="1">
      <c r="C304" s="39"/>
      <c r="T304" s="2"/>
    </row>
    <row r="305" ht="14.25" customHeight="1">
      <c r="C305" s="39"/>
      <c r="T305" s="2"/>
    </row>
    <row r="306" ht="14.25" customHeight="1">
      <c r="C306" s="39"/>
      <c r="T306" s="2"/>
    </row>
    <row r="307" ht="14.25" customHeight="1">
      <c r="C307" s="39"/>
      <c r="T307" s="2"/>
    </row>
    <row r="308" ht="14.25" customHeight="1">
      <c r="C308" s="39"/>
      <c r="T308" s="2"/>
    </row>
    <row r="309" ht="14.25" customHeight="1">
      <c r="C309" s="39"/>
      <c r="T309" s="2"/>
    </row>
    <row r="310" ht="14.25" customHeight="1">
      <c r="C310" s="39"/>
      <c r="T310" s="2"/>
    </row>
    <row r="311" ht="14.25" customHeight="1">
      <c r="C311" s="39"/>
      <c r="T311" s="2"/>
    </row>
    <row r="312" ht="14.25" customHeight="1">
      <c r="C312" s="39"/>
      <c r="T312" s="2"/>
    </row>
    <row r="313" ht="14.25" customHeight="1">
      <c r="C313" s="39"/>
      <c r="T313" s="2"/>
    </row>
    <row r="314" ht="14.25" customHeight="1">
      <c r="C314" s="39"/>
      <c r="T314" s="2"/>
    </row>
    <row r="315" ht="14.25" customHeight="1">
      <c r="C315" s="39"/>
      <c r="T315" s="2"/>
    </row>
    <row r="316" ht="14.25" customHeight="1">
      <c r="C316" s="39"/>
      <c r="T316" s="2"/>
    </row>
    <row r="317" ht="14.25" customHeight="1">
      <c r="C317" s="39"/>
      <c r="T317" s="2"/>
    </row>
    <row r="318" ht="14.25" customHeight="1">
      <c r="C318" s="39"/>
      <c r="T318" s="2"/>
    </row>
    <row r="319" ht="14.25" customHeight="1">
      <c r="C319" s="39"/>
      <c r="T319" s="2"/>
    </row>
    <row r="320" ht="14.25" customHeight="1">
      <c r="C320" s="39"/>
      <c r="T320" s="2"/>
    </row>
    <row r="321" ht="14.25" customHeight="1">
      <c r="C321" s="39"/>
      <c r="T321" s="2"/>
    </row>
    <row r="322" ht="14.25" customHeight="1">
      <c r="C322" s="39"/>
      <c r="T322" s="2"/>
    </row>
    <row r="323" ht="14.25" customHeight="1">
      <c r="C323" s="39"/>
      <c r="T323" s="2"/>
    </row>
    <row r="324" ht="14.25" customHeight="1">
      <c r="C324" s="39"/>
      <c r="T324" s="2"/>
    </row>
    <row r="325" ht="14.25" customHeight="1">
      <c r="C325" s="39"/>
      <c r="T325" s="2"/>
    </row>
    <row r="326" ht="14.25" customHeight="1">
      <c r="C326" s="39"/>
      <c r="T326" s="2"/>
    </row>
    <row r="327" ht="14.25" customHeight="1">
      <c r="C327" s="39"/>
      <c r="T327" s="2"/>
    </row>
    <row r="328" ht="14.25" customHeight="1">
      <c r="C328" s="39"/>
      <c r="T328" s="2"/>
    </row>
    <row r="329" ht="14.25" customHeight="1">
      <c r="C329" s="39"/>
      <c r="T329" s="2"/>
    </row>
    <row r="330" ht="14.25" customHeight="1">
      <c r="C330" s="39"/>
      <c r="T330" s="2"/>
    </row>
    <row r="331" ht="14.25" customHeight="1">
      <c r="C331" s="39"/>
      <c r="T331" s="2"/>
    </row>
    <row r="332" ht="14.25" customHeight="1">
      <c r="C332" s="39"/>
      <c r="T332" s="2"/>
    </row>
    <row r="333" ht="14.25" customHeight="1">
      <c r="C333" s="39"/>
      <c r="T333" s="2"/>
    </row>
    <row r="334" ht="14.25" customHeight="1">
      <c r="C334" s="39"/>
      <c r="T334" s="2"/>
    </row>
    <row r="335" ht="14.25" customHeight="1">
      <c r="C335" s="39"/>
      <c r="T335" s="2"/>
    </row>
    <row r="336" ht="14.25" customHeight="1">
      <c r="C336" s="39"/>
      <c r="T336" s="2"/>
    </row>
    <row r="337" ht="14.25" customHeight="1">
      <c r="C337" s="39"/>
      <c r="T337" s="2"/>
    </row>
    <row r="338" ht="14.25" customHeight="1">
      <c r="C338" s="39"/>
      <c r="T338" s="2"/>
    </row>
    <row r="339" ht="14.25" customHeight="1">
      <c r="C339" s="39"/>
      <c r="T339" s="2"/>
    </row>
    <row r="340" ht="14.25" customHeight="1">
      <c r="C340" s="39"/>
      <c r="T340" s="2"/>
    </row>
    <row r="341" ht="14.25" customHeight="1">
      <c r="C341" s="39"/>
      <c r="T341" s="2"/>
    </row>
    <row r="342" ht="14.25" customHeight="1">
      <c r="C342" s="39"/>
      <c r="T342" s="2"/>
    </row>
    <row r="343" ht="14.25" customHeight="1">
      <c r="C343" s="39"/>
      <c r="T343" s="2"/>
    </row>
    <row r="344" ht="14.25" customHeight="1">
      <c r="C344" s="39"/>
      <c r="T344" s="2"/>
    </row>
    <row r="345" ht="14.25" customHeight="1">
      <c r="C345" s="39"/>
      <c r="T345" s="2"/>
    </row>
    <row r="346" ht="14.25" customHeight="1">
      <c r="C346" s="39"/>
      <c r="T346" s="2"/>
    </row>
    <row r="347" ht="14.25" customHeight="1">
      <c r="C347" s="39"/>
      <c r="T347" s="2"/>
    </row>
    <row r="348" ht="14.25" customHeight="1">
      <c r="C348" s="39"/>
      <c r="T348" s="2"/>
    </row>
    <row r="349" ht="14.25" customHeight="1">
      <c r="C349" s="39"/>
      <c r="T349" s="2"/>
    </row>
    <row r="350" ht="14.25" customHeight="1">
      <c r="C350" s="39"/>
      <c r="T350" s="2"/>
    </row>
    <row r="351" ht="14.25" customHeight="1">
      <c r="C351" s="39"/>
      <c r="T351" s="2"/>
    </row>
    <row r="352" ht="14.25" customHeight="1">
      <c r="C352" s="39"/>
      <c r="T352" s="2"/>
    </row>
    <row r="353" ht="14.25" customHeight="1">
      <c r="C353" s="39"/>
      <c r="T353" s="2"/>
    </row>
    <row r="354" ht="14.25" customHeight="1">
      <c r="C354" s="39"/>
      <c r="T354" s="2"/>
    </row>
    <row r="355" ht="14.25" customHeight="1">
      <c r="C355" s="39"/>
      <c r="T355" s="2"/>
    </row>
    <row r="356" ht="14.25" customHeight="1">
      <c r="C356" s="39"/>
      <c r="T356" s="2"/>
    </row>
    <row r="357" ht="14.25" customHeight="1">
      <c r="C357" s="39"/>
      <c r="T357" s="2"/>
    </row>
    <row r="358" ht="14.25" customHeight="1">
      <c r="C358" s="39"/>
      <c r="T358" s="2"/>
    </row>
    <row r="359" ht="14.25" customHeight="1">
      <c r="C359" s="39"/>
      <c r="T359" s="2"/>
    </row>
    <row r="360" ht="14.25" customHeight="1">
      <c r="C360" s="39"/>
      <c r="T360" s="2"/>
    </row>
    <row r="361" ht="14.25" customHeight="1">
      <c r="C361" s="39"/>
      <c r="T361" s="2"/>
    </row>
    <row r="362" ht="14.25" customHeight="1">
      <c r="C362" s="39"/>
      <c r="T362" s="2"/>
    </row>
    <row r="363" ht="14.25" customHeight="1">
      <c r="C363" s="39"/>
      <c r="T363" s="2"/>
    </row>
    <row r="364" ht="14.25" customHeight="1">
      <c r="C364" s="39"/>
      <c r="T364" s="2"/>
    </row>
    <row r="365" ht="14.25" customHeight="1">
      <c r="C365" s="39"/>
      <c r="T365" s="2"/>
    </row>
    <row r="366" ht="14.25" customHeight="1">
      <c r="C366" s="39"/>
      <c r="T366" s="2"/>
    </row>
    <row r="367" ht="14.25" customHeight="1">
      <c r="C367" s="39"/>
      <c r="T367" s="2"/>
    </row>
    <row r="368" ht="14.25" customHeight="1">
      <c r="C368" s="39"/>
      <c r="T368" s="2"/>
    </row>
    <row r="369" ht="14.25" customHeight="1">
      <c r="C369" s="39"/>
      <c r="T369" s="2"/>
    </row>
    <row r="370" ht="14.25" customHeight="1">
      <c r="C370" s="39"/>
      <c r="T370" s="2"/>
    </row>
    <row r="371" ht="14.25" customHeight="1">
      <c r="C371" s="39"/>
      <c r="T371" s="2"/>
    </row>
    <row r="372" ht="14.25" customHeight="1">
      <c r="C372" s="39"/>
      <c r="T372" s="2"/>
    </row>
    <row r="373" ht="14.25" customHeight="1">
      <c r="C373" s="39"/>
      <c r="T373" s="2"/>
    </row>
    <row r="374" ht="14.25" customHeight="1">
      <c r="C374" s="39"/>
      <c r="T374" s="2"/>
    </row>
    <row r="375" ht="14.25" customHeight="1">
      <c r="C375" s="39"/>
      <c r="T375" s="2"/>
    </row>
    <row r="376" ht="14.25" customHeight="1">
      <c r="C376" s="39"/>
      <c r="T376" s="2"/>
    </row>
    <row r="377" ht="14.25" customHeight="1">
      <c r="C377" s="39"/>
      <c r="T377" s="2"/>
    </row>
    <row r="378" ht="14.25" customHeight="1">
      <c r="C378" s="39"/>
      <c r="T378" s="2"/>
    </row>
    <row r="379" ht="14.25" customHeight="1">
      <c r="C379" s="39"/>
      <c r="T379" s="2"/>
    </row>
    <row r="380" ht="14.25" customHeight="1">
      <c r="C380" s="39"/>
      <c r="T380" s="2"/>
    </row>
    <row r="381" ht="14.25" customHeight="1">
      <c r="C381" s="39"/>
      <c r="T381" s="2"/>
    </row>
    <row r="382" ht="14.25" customHeight="1">
      <c r="C382" s="39"/>
      <c r="T382" s="2"/>
    </row>
    <row r="383" ht="14.25" customHeight="1">
      <c r="C383" s="39"/>
      <c r="T383" s="2"/>
    </row>
    <row r="384" ht="14.25" customHeight="1">
      <c r="C384" s="39"/>
      <c r="T384" s="2"/>
    </row>
    <row r="385" ht="14.25" customHeight="1">
      <c r="C385" s="39"/>
      <c r="T385" s="2"/>
    </row>
    <row r="386" ht="14.25" customHeight="1">
      <c r="C386" s="39"/>
      <c r="T386" s="2"/>
    </row>
    <row r="387" ht="14.25" customHeight="1">
      <c r="C387" s="39"/>
      <c r="T387" s="2"/>
    </row>
    <row r="388" ht="14.25" customHeight="1">
      <c r="C388" s="39"/>
      <c r="T388" s="2"/>
    </row>
    <row r="389" ht="14.25" customHeight="1">
      <c r="C389" s="39"/>
      <c r="T389" s="2"/>
    </row>
    <row r="390" ht="14.25" customHeight="1">
      <c r="C390" s="39"/>
      <c r="T390" s="2"/>
    </row>
    <row r="391" ht="14.25" customHeight="1">
      <c r="C391" s="39"/>
      <c r="T391" s="2"/>
    </row>
    <row r="392" ht="14.25" customHeight="1">
      <c r="C392" s="39"/>
      <c r="T392" s="2"/>
    </row>
    <row r="393" ht="14.25" customHeight="1">
      <c r="C393" s="39"/>
      <c r="T393" s="2"/>
    </row>
    <row r="394" ht="14.25" customHeight="1">
      <c r="C394" s="39"/>
      <c r="T394" s="2"/>
    </row>
    <row r="395" ht="14.25" customHeight="1">
      <c r="C395" s="39"/>
      <c r="T395" s="2"/>
    </row>
    <row r="396" ht="14.25" customHeight="1">
      <c r="C396" s="39"/>
      <c r="T396" s="2"/>
    </row>
    <row r="397" ht="14.25" customHeight="1">
      <c r="C397" s="39"/>
      <c r="T397" s="2"/>
    </row>
    <row r="398" ht="14.25" customHeight="1">
      <c r="C398" s="39"/>
      <c r="T398" s="2"/>
    </row>
    <row r="399" ht="14.25" customHeight="1">
      <c r="C399" s="39"/>
      <c r="T399" s="2"/>
    </row>
    <row r="400" ht="14.25" customHeight="1">
      <c r="C400" s="39"/>
      <c r="T400" s="2"/>
    </row>
    <row r="401" ht="14.25" customHeight="1">
      <c r="C401" s="39"/>
      <c r="T401" s="2"/>
    </row>
    <row r="402" ht="14.25" customHeight="1">
      <c r="C402" s="39"/>
      <c r="T402" s="2"/>
    </row>
    <row r="403" ht="14.25" customHeight="1">
      <c r="C403" s="39"/>
      <c r="T403" s="2"/>
    </row>
    <row r="404" ht="14.25" customHeight="1">
      <c r="C404" s="39"/>
      <c r="T404" s="2"/>
    </row>
    <row r="405" ht="14.25" customHeight="1">
      <c r="C405" s="39"/>
      <c r="T405" s="2"/>
    </row>
    <row r="406" ht="14.25" customHeight="1">
      <c r="C406" s="39"/>
      <c r="T406" s="2"/>
    </row>
    <row r="407" ht="14.25" customHeight="1">
      <c r="C407" s="39"/>
      <c r="T407" s="2"/>
    </row>
    <row r="408" ht="14.25" customHeight="1">
      <c r="C408" s="39"/>
      <c r="T408" s="2"/>
    </row>
    <row r="409" ht="14.25" customHeight="1">
      <c r="C409" s="39"/>
      <c r="T409" s="2"/>
    </row>
    <row r="410" ht="14.25" customHeight="1">
      <c r="C410" s="39"/>
      <c r="T410" s="2"/>
    </row>
    <row r="411" ht="14.25" customHeight="1">
      <c r="C411" s="39"/>
      <c r="T411" s="2"/>
    </row>
    <row r="412" ht="14.25" customHeight="1">
      <c r="C412" s="39"/>
      <c r="T412" s="2"/>
    </row>
    <row r="413" ht="14.25" customHeight="1">
      <c r="C413" s="39"/>
      <c r="T413" s="2"/>
    </row>
    <row r="414" ht="14.25" customHeight="1">
      <c r="C414" s="39"/>
      <c r="T414" s="2"/>
    </row>
    <row r="415" ht="14.25" customHeight="1">
      <c r="C415" s="39"/>
      <c r="T415" s="2"/>
    </row>
    <row r="416" ht="14.25" customHeight="1">
      <c r="C416" s="39"/>
      <c r="T416" s="2"/>
    </row>
    <row r="417" ht="14.25" customHeight="1">
      <c r="C417" s="39"/>
      <c r="T417" s="2"/>
    </row>
    <row r="418" ht="14.25" customHeight="1">
      <c r="C418" s="39"/>
      <c r="T418" s="2"/>
    </row>
    <row r="419" ht="14.25" customHeight="1">
      <c r="C419" s="39"/>
      <c r="T419" s="2"/>
    </row>
    <row r="420" ht="14.25" customHeight="1">
      <c r="C420" s="39"/>
      <c r="T420" s="2"/>
    </row>
    <row r="421" ht="14.25" customHeight="1">
      <c r="C421" s="39"/>
      <c r="T421" s="2"/>
    </row>
    <row r="422" ht="14.25" customHeight="1">
      <c r="C422" s="39"/>
      <c r="T422" s="2"/>
    </row>
    <row r="423" ht="14.25" customHeight="1">
      <c r="C423" s="39"/>
      <c r="T423" s="2"/>
    </row>
    <row r="424" ht="14.25" customHeight="1">
      <c r="C424" s="39"/>
      <c r="T424" s="2"/>
    </row>
    <row r="425" ht="14.25" customHeight="1">
      <c r="C425" s="39"/>
      <c r="T425" s="2"/>
    </row>
    <row r="426" ht="14.25" customHeight="1">
      <c r="C426" s="39"/>
      <c r="T426" s="2"/>
    </row>
    <row r="427" ht="14.25" customHeight="1">
      <c r="C427" s="39"/>
      <c r="T427" s="2"/>
    </row>
    <row r="428" ht="14.25" customHeight="1">
      <c r="C428" s="39"/>
      <c r="T428" s="2"/>
    </row>
    <row r="429" ht="14.25" customHeight="1">
      <c r="C429" s="39"/>
      <c r="T429" s="2"/>
    </row>
    <row r="430" ht="14.25" customHeight="1">
      <c r="C430" s="39"/>
      <c r="T430" s="2"/>
    </row>
    <row r="431" ht="14.25" customHeight="1">
      <c r="C431" s="39"/>
      <c r="T431" s="2"/>
    </row>
    <row r="432" ht="14.25" customHeight="1">
      <c r="C432" s="39"/>
      <c r="T432" s="2"/>
    </row>
    <row r="433" ht="14.25" customHeight="1">
      <c r="C433" s="39"/>
      <c r="T433" s="2"/>
    </row>
    <row r="434" ht="14.25" customHeight="1">
      <c r="C434" s="39"/>
      <c r="T434" s="2"/>
    </row>
    <row r="435" ht="14.25" customHeight="1">
      <c r="C435" s="39"/>
      <c r="T435" s="2"/>
    </row>
    <row r="436" ht="14.25" customHeight="1">
      <c r="C436" s="39"/>
      <c r="T436" s="2"/>
    </row>
    <row r="437" ht="14.25" customHeight="1">
      <c r="C437" s="39"/>
      <c r="T437" s="2"/>
    </row>
    <row r="438" ht="14.25" customHeight="1">
      <c r="C438" s="39"/>
      <c r="T438" s="2"/>
    </row>
    <row r="439" ht="14.25" customHeight="1">
      <c r="C439" s="39"/>
      <c r="T439" s="2"/>
    </row>
    <row r="440" ht="14.25" customHeight="1">
      <c r="C440" s="39"/>
      <c r="T440" s="2"/>
    </row>
    <row r="441" ht="14.25" customHeight="1">
      <c r="C441" s="39"/>
      <c r="T441" s="2"/>
    </row>
    <row r="442" ht="14.25" customHeight="1">
      <c r="C442" s="39"/>
      <c r="T442" s="2"/>
    </row>
    <row r="443" ht="14.25" customHeight="1">
      <c r="C443" s="39"/>
      <c r="T443" s="2"/>
    </row>
    <row r="444" ht="14.25" customHeight="1">
      <c r="C444" s="39"/>
      <c r="T444" s="2"/>
    </row>
    <row r="445" ht="14.25" customHeight="1">
      <c r="C445" s="39"/>
      <c r="T445" s="2"/>
    </row>
    <row r="446" ht="14.25" customHeight="1">
      <c r="C446" s="39"/>
      <c r="T446" s="2"/>
    </row>
    <row r="447" ht="14.25" customHeight="1">
      <c r="C447" s="39"/>
      <c r="T447" s="2"/>
    </row>
    <row r="448" ht="14.25" customHeight="1">
      <c r="C448" s="39"/>
      <c r="T448" s="2"/>
    </row>
    <row r="449" ht="14.25" customHeight="1">
      <c r="C449" s="39"/>
      <c r="T449" s="2"/>
    </row>
    <row r="450" ht="14.25" customHeight="1">
      <c r="C450" s="39"/>
      <c r="T450" s="2"/>
    </row>
    <row r="451" ht="14.25" customHeight="1">
      <c r="C451" s="39"/>
      <c r="T451" s="2"/>
    </row>
    <row r="452" ht="14.25" customHeight="1">
      <c r="C452" s="39"/>
      <c r="T452" s="2"/>
    </row>
    <row r="453" ht="14.25" customHeight="1">
      <c r="C453" s="39"/>
      <c r="T453" s="2"/>
    </row>
    <row r="454" ht="14.25" customHeight="1">
      <c r="C454" s="39"/>
      <c r="T454" s="2"/>
    </row>
    <row r="455" ht="14.25" customHeight="1">
      <c r="C455" s="39"/>
      <c r="T455" s="2"/>
    </row>
    <row r="456" ht="14.25" customHeight="1">
      <c r="C456" s="39"/>
      <c r="T456" s="2"/>
    </row>
    <row r="457" ht="14.25" customHeight="1">
      <c r="C457" s="39"/>
      <c r="T457" s="2"/>
    </row>
    <row r="458" ht="14.25" customHeight="1">
      <c r="C458" s="39"/>
      <c r="T458" s="2"/>
    </row>
    <row r="459" ht="14.25" customHeight="1">
      <c r="C459" s="39"/>
      <c r="T459" s="2"/>
    </row>
    <row r="460" ht="14.25" customHeight="1">
      <c r="C460" s="39"/>
      <c r="T460" s="2"/>
    </row>
    <row r="461" ht="14.25" customHeight="1">
      <c r="C461" s="39"/>
      <c r="T461" s="2"/>
    </row>
    <row r="462" ht="14.25" customHeight="1">
      <c r="C462" s="39"/>
      <c r="T462" s="2"/>
    </row>
    <row r="463" ht="14.25" customHeight="1">
      <c r="C463" s="39"/>
      <c r="T463" s="2"/>
    </row>
    <row r="464" ht="14.25" customHeight="1">
      <c r="C464" s="39"/>
      <c r="T464" s="2"/>
    </row>
    <row r="465" ht="14.25" customHeight="1">
      <c r="C465" s="39"/>
      <c r="T465" s="2"/>
    </row>
    <row r="466" ht="14.25" customHeight="1">
      <c r="C466" s="39"/>
      <c r="T466" s="2"/>
    </row>
    <row r="467" ht="14.25" customHeight="1">
      <c r="C467" s="39"/>
      <c r="T467" s="2"/>
    </row>
    <row r="468" ht="14.25" customHeight="1">
      <c r="C468" s="39"/>
      <c r="T468" s="2"/>
    </row>
    <row r="469" ht="14.25" customHeight="1">
      <c r="C469" s="39"/>
      <c r="T469" s="2"/>
    </row>
    <row r="470" ht="14.25" customHeight="1">
      <c r="C470" s="39"/>
      <c r="T470" s="2"/>
    </row>
    <row r="471" ht="14.25" customHeight="1">
      <c r="C471" s="39"/>
      <c r="T471" s="2"/>
    </row>
    <row r="472" ht="14.25" customHeight="1">
      <c r="C472" s="39"/>
      <c r="T472" s="2"/>
    </row>
    <row r="473" ht="14.25" customHeight="1">
      <c r="C473" s="39"/>
      <c r="T473" s="2"/>
    </row>
    <row r="474" ht="14.25" customHeight="1">
      <c r="C474" s="39"/>
      <c r="T474" s="2"/>
    </row>
    <row r="475" ht="14.25" customHeight="1">
      <c r="C475" s="39"/>
      <c r="T475" s="2"/>
    </row>
    <row r="476" ht="14.25" customHeight="1">
      <c r="C476" s="39"/>
      <c r="T476" s="2"/>
    </row>
    <row r="477" ht="14.25" customHeight="1">
      <c r="C477" s="39"/>
      <c r="T477" s="2"/>
    </row>
    <row r="478" ht="14.25" customHeight="1">
      <c r="C478" s="39"/>
      <c r="T478" s="2"/>
    </row>
    <row r="479" ht="14.25" customHeight="1">
      <c r="C479" s="39"/>
      <c r="T479" s="2"/>
    </row>
    <row r="480" ht="14.25" customHeight="1">
      <c r="C480" s="39"/>
      <c r="T480" s="2"/>
    </row>
    <row r="481" ht="14.25" customHeight="1">
      <c r="C481" s="39"/>
      <c r="T481" s="2"/>
    </row>
    <row r="482" ht="14.25" customHeight="1">
      <c r="C482" s="39"/>
      <c r="T482" s="2"/>
    </row>
    <row r="483" ht="14.25" customHeight="1">
      <c r="C483" s="39"/>
      <c r="T483" s="2"/>
    </row>
    <row r="484" ht="14.25" customHeight="1">
      <c r="C484" s="39"/>
      <c r="T484" s="2"/>
    </row>
    <row r="485" ht="14.25" customHeight="1">
      <c r="C485" s="39"/>
      <c r="T485" s="2"/>
    </row>
    <row r="486" ht="14.25" customHeight="1">
      <c r="C486" s="39"/>
      <c r="T486" s="2"/>
    </row>
    <row r="487" ht="14.25" customHeight="1">
      <c r="C487" s="39"/>
      <c r="T487" s="2"/>
    </row>
    <row r="488" ht="14.25" customHeight="1">
      <c r="C488" s="39"/>
      <c r="T488" s="2"/>
    </row>
    <row r="489" ht="14.25" customHeight="1">
      <c r="C489" s="39"/>
      <c r="T489" s="2"/>
    </row>
    <row r="490" ht="14.25" customHeight="1">
      <c r="C490" s="39"/>
      <c r="T490" s="2"/>
    </row>
    <row r="491" ht="14.25" customHeight="1">
      <c r="C491" s="39"/>
      <c r="T491" s="2"/>
    </row>
    <row r="492" ht="14.25" customHeight="1">
      <c r="C492" s="39"/>
      <c r="T492" s="2"/>
    </row>
    <row r="493" ht="14.25" customHeight="1">
      <c r="C493" s="39"/>
      <c r="T493" s="2"/>
    </row>
    <row r="494" ht="14.25" customHeight="1">
      <c r="C494" s="39"/>
      <c r="T494" s="2"/>
    </row>
    <row r="495" ht="14.25" customHeight="1">
      <c r="C495" s="39"/>
      <c r="T495" s="2"/>
    </row>
    <row r="496" ht="14.25" customHeight="1">
      <c r="C496" s="39"/>
      <c r="T496" s="2"/>
    </row>
    <row r="497" ht="14.25" customHeight="1">
      <c r="C497" s="39"/>
      <c r="T497" s="2"/>
    </row>
    <row r="498" ht="14.25" customHeight="1">
      <c r="C498" s="39"/>
      <c r="T498" s="2"/>
    </row>
    <row r="499" ht="14.25" customHeight="1">
      <c r="C499" s="39"/>
      <c r="T499" s="2"/>
    </row>
    <row r="500" ht="14.25" customHeight="1">
      <c r="C500" s="39"/>
      <c r="T500" s="2"/>
    </row>
    <row r="501" ht="14.25" customHeight="1">
      <c r="C501" s="39"/>
      <c r="T501" s="2"/>
    </row>
    <row r="502" ht="14.25" customHeight="1">
      <c r="C502" s="39"/>
      <c r="T502" s="2"/>
    </row>
    <row r="503" ht="14.25" customHeight="1">
      <c r="C503" s="39"/>
      <c r="T503" s="2"/>
    </row>
    <row r="504" ht="14.25" customHeight="1">
      <c r="C504" s="39"/>
      <c r="T504" s="2"/>
    </row>
    <row r="505" ht="14.25" customHeight="1">
      <c r="C505" s="39"/>
      <c r="T505" s="2"/>
    </row>
    <row r="506" ht="14.25" customHeight="1">
      <c r="C506" s="39"/>
      <c r="T506" s="2"/>
    </row>
    <row r="507" ht="14.25" customHeight="1">
      <c r="C507" s="39"/>
      <c r="T507" s="2"/>
    </row>
    <row r="508" ht="14.25" customHeight="1">
      <c r="C508" s="39"/>
      <c r="T508" s="2"/>
    </row>
    <row r="509" ht="14.25" customHeight="1">
      <c r="C509" s="39"/>
      <c r="T509" s="2"/>
    </row>
    <row r="510" ht="14.25" customHeight="1">
      <c r="C510" s="39"/>
      <c r="T510" s="2"/>
    </row>
    <row r="511" ht="14.25" customHeight="1">
      <c r="C511" s="39"/>
      <c r="T511" s="2"/>
    </row>
    <row r="512" ht="14.25" customHeight="1">
      <c r="C512" s="39"/>
      <c r="T512" s="2"/>
    </row>
    <row r="513" ht="14.25" customHeight="1">
      <c r="C513" s="39"/>
      <c r="T513" s="2"/>
    </row>
    <row r="514" ht="14.25" customHeight="1">
      <c r="C514" s="39"/>
      <c r="T514" s="2"/>
    </row>
    <row r="515" ht="14.25" customHeight="1">
      <c r="C515" s="39"/>
      <c r="T515" s="2"/>
    </row>
    <row r="516" ht="14.25" customHeight="1">
      <c r="C516" s="39"/>
      <c r="T516" s="2"/>
    </row>
    <row r="517" ht="14.25" customHeight="1">
      <c r="C517" s="39"/>
      <c r="T517" s="2"/>
    </row>
    <row r="518" ht="14.25" customHeight="1">
      <c r="C518" s="39"/>
      <c r="T518" s="2"/>
    </row>
    <row r="519" ht="14.25" customHeight="1">
      <c r="C519" s="39"/>
      <c r="T519" s="2"/>
    </row>
    <row r="520" ht="14.25" customHeight="1">
      <c r="C520" s="39"/>
      <c r="T520" s="2"/>
    </row>
    <row r="521" ht="14.25" customHeight="1">
      <c r="C521" s="39"/>
      <c r="T521" s="2"/>
    </row>
    <row r="522" ht="14.25" customHeight="1">
      <c r="C522" s="39"/>
      <c r="T522" s="2"/>
    </row>
    <row r="523" ht="14.25" customHeight="1">
      <c r="C523" s="39"/>
      <c r="T523" s="2"/>
    </row>
    <row r="524" ht="14.25" customHeight="1">
      <c r="C524" s="39"/>
      <c r="T524" s="2"/>
    </row>
    <row r="525" ht="14.25" customHeight="1">
      <c r="C525" s="39"/>
      <c r="T525" s="2"/>
    </row>
    <row r="526" ht="14.25" customHeight="1">
      <c r="C526" s="39"/>
      <c r="T526" s="2"/>
    </row>
    <row r="527" ht="14.25" customHeight="1">
      <c r="C527" s="39"/>
      <c r="T527" s="2"/>
    </row>
    <row r="528" ht="14.25" customHeight="1">
      <c r="C528" s="39"/>
      <c r="T528" s="2"/>
    </row>
    <row r="529" ht="14.25" customHeight="1">
      <c r="C529" s="39"/>
      <c r="T529" s="2"/>
    </row>
    <row r="530" ht="14.25" customHeight="1">
      <c r="C530" s="39"/>
      <c r="T530" s="2"/>
    </row>
    <row r="531" ht="14.25" customHeight="1">
      <c r="C531" s="39"/>
      <c r="T531" s="2"/>
    </row>
    <row r="532" ht="14.25" customHeight="1">
      <c r="C532" s="39"/>
      <c r="T532" s="2"/>
    </row>
    <row r="533" ht="14.25" customHeight="1">
      <c r="C533" s="39"/>
      <c r="T533" s="2"/>
    </row>
    <row r="534" ht="14.25" customHeight="1">
      <c r="C534" s="39"/>
      <c r="T534" s="2"/>
    </row>
    <row r="535" ht="14.25" customHeight="1">
      <c r="C535" s="39"/>
      <c r="T535" s="2"/>
    </row>
    <row r="536" ht="14.25" customHeight="1">
      <c r="C536" s="39"/>
      <c r="T536" s="2"/>
    </row>
    <row r="537" ht="14.25" customHeight="1">
      <c r="C537" s="39"/>
      <c r="T537" s="2"/>
    </row>
    <row r="538" ht="14.25" customHeight="1">
      <c r="C538" s="39"/>
      <c r="T538" s="2"/>
    </row>
    <row r="539" ht="14.25" customHeight="1">
      <c r="C539" s="39"/>
      <c r="T539" s="2"/>
    </row>
    <row r="540" ht="14.25" customHeight="1">
      <c r="C540" s="39"/>
      <c r="T540" s="2"/>
    </row>
    <row r="541" ht="14.25" customHeight="1">
      <c r="C541" s="39"/>
      <c r="T541" s="2"/>
    </row>
    <row r="542" ht="14.25" customHeight="1">
      <c r="C542" s="39"/>
      <c r="T542" s="2"/>
    </row>
    <row r="543" ht="14.25" customHeight="1">
      <c r="C543" s="39"/>
      <c r="T543" s="2"/>
    </row>
    <row r="544" ht="14.25" customHeight="1">
      <c r="C544" s="39"/>
      <c r="T544" s="2"/>
    </row>
    <row r="545" ht="14.25" customHeight="1">
      <c r="C545" s="39"/>
      <c r="T545" s="2"/>
    </row>
    <row r="546" ht="14.25" customHeight="1">
      <c r="C546" s="39"/>
      <c r="T546" s="2"/>
    </row>
    <row r="547" ht="14.25" customHeight="1">
      <c r="C547" s="39"/>
      <c r="T547" s="2"/>
    </row>
    <row r="548" ht="14.25" customHeight="1">
      <c r="C548" s="39"/>
      <c r="T548" s="2"/>
    </row>
    <row r="549" ht="14.25" customHeight="1">
      <c r="C549" s="39"/>
      <c r="T549" s="2"/>
    </row>
    <row r="550" ht="14.25" customHeight="1">
      <c r="C550" s="39"/>
      <c r="T550" s="2"/>
    </row>
    <row r="551" ht="14.25" customHeight="1">
      <c r="C551" s="39"/>
      <c r="T551" s="2"/>
    </row>
    <row r="552" ht="14.25" customHeight="1">
      <c r="C552" s="39"/>
      <c r="T552" s="2"/>
    </row>
    <row r="553" ht="14.25" customHeight="1">
      <c r="C553" s="39"/>
      <c r="T553" s="2"/>
    </row>
    <row r="554" ht="14.25" customHeight="1">
      <c r="C554" s="39"/>
      <c r="T554" s="2"/>
    </row>
    <row r="555" ht="14.25" customHeight="1">
      <c r="C555" s="39"/>
      <c r="T555" s="2"/>
    </row>
    <row r="556" ht="14.25" customHeight="1">
      <c r="C556" s="39"/>
      <c r="T556" s="2"/>
    </row>
    <row r="557" ht="14.25" customHeight="1">
      <c r="C557" s="39"/>
      <c r="T557" s="2"/>
    </row>
    <row r="558" ht="14.25" customHeight="1">
      <c r="C558" s="39"/>
      <c r="T558" s="2"/>
    </row>
    <row r="559" ht="14.25" customHeight="1">
      <c r="C559" s="39"/>
      <c r="T559" s="2"/>
    </row>
    <row r="560" ht="14.25" customHeight="1">
      <c r="C560" s="39"/>
      <c r="T560" s="2"/>
    </row>
    <row r="561" ht="14.25" customHeight="1">
      <c r="C561" s="39"/>
      <c r="T561" s="2"/>
    </row>
    <row r="562" ht="14.25" customHeight="1">
      <c r="C562" s="39"/>
      <c r="T562" s="2"/>
    </row>
    <row r="563" ht="14.25" customHeight="1">
      <c r="C563" s="39"/>
      <c r="T563" s="2"/>
    </row>
    <row r="564" ht="14.25" customHeight="1">
      <c r="C564" s="39"/>
      <c r="T564" s="2"/>
    </row>
    <row r="565" ht="14.25" customHeight="1">
      <c r="C565" s="39"/>
      <c r="T565" s="2"/>
    </row>
    <row r="566" ht="14.25" customHeight="1">
      <c r="C566" s="39"/>
      <c r="T566" s="2"/>
    </row>
    <row r="567" ht="14.25" customHeight="1">
      <c r="C567" s="39"/>
      <c r="T567" s="2"/>
    </row>
    <row r="568" ht="14.25" customHeight="1">
      <c r="C568" s="39"/>
      <c r="T568" s="2"/>
    </row>
    <row r="569" ht="14.25" customHeight="1">
      <c r="C569" s="39"/>
      <c r="T569" s="2"/>
    </row>
    <row r="570" ht="14.25" customHeight="1">
      <c r="C570" s="39"/>
      <c r="T570" s="2"/>
    </row>
    <row r="571" ht="14.25" customHeight="1">
      <c r="C571" s="39"/>
      <c r="T571" s="2"/>
    </row>
    <row r="572" ht="14.25" customHeight="1">
      <c r="C572" s="39"/>
      <c r="T572" s="2"/>
    </row>
    <row r="573" ht="14.25" customHeight="1">
      <c r="C573" s="39"/>
      <c r="T573" s="2"/>
    </row>
    <row r="574" ht="14.25" customHeight="1">
      <c r="C574" s="39"/>
      <c r="T574" s="2"/>
    </row>
    <row r="575" ht="14.25" customHeight="1">
      <c r="C575" s="39"/>
      <c r="T575" s="2"/>
    </row>
    <row r="576" ht="14.25" customHeight="1">
      <c r="C576" s="39"/>
      <c r="T576" s="2"/>
    </row>
    <row r="577" ht="14.25" customHeight="1">
      <c r="C577" s="39"/>
      <c r="T577" s="2"/>
    </row>
    <row r="578" ht="14.25" customHeight="1">
      <c r="C578" s="39"/>
      <c r="T578" s="2"/>
    </row>
    <row r="579" ht="14.25" customHeight="1">
      <c r="C579" s="39"/>
      <c r="T579" s="2"/>
    </row>
    <row r="580" ht="14.25" customHeight="1">
      <c r="C580" s="39"/>
      <c r="T580" s="2"/>
    </row>
    <row r="581" ht="14.25" customHeight="1">
      <c r="C581" s="39"/>
      <c r="T581" s="2"/>
    </row>
    <row r="582" ht="14.25" customHeight="1">
      <c r="C582" s="39"/>
      <c r="T582" s="2"/>
    </row>
    <row r="583" ht="14.25" customHeight="1">
      <c r="C583" s="39"/>
      <c r="T583" s="2"/>
    </row>
    <row r="584" ht="14.25" customHeight="1">
      <c r="C584" s="39"/>
      <c r="T584" s="2"/>
    </row>
    <row r="585" ht="14.25" customHeight="1">
      <c r="C585" s="39"/>
      <c r="T585" s="2"/>
    </row>
    <row r="586" ht="14.25" customHeight="1">
      <c r="C586" s="39"/>
      <c r="T586" s="2"/>
    </row>
    <row r="587" ht="14.25" customHeight="1">
      <c r="C587" s="39"/>
      <c r="T587" s="2"/>
    </row>
    <row r="588" ht="14.25" customHeight="1">
      <c r="C588" s="39"/>
      <c r="T588" s="2"/>
    </row>
    <row r="589" ht="14.25" customHeight="1">
      <c r="C589" s="39"/>
      <c r="T589" s="2"/>
    </row>
    <row r="590" ht="14.25" customHeight="1">
      <c r="C590" s="39"/>
      <c r="T590" s="2"/>
    </row>
    <row r="591" ht="14.25" customHeight="1">
      <c r="C591" s="39"/>
      <c r="T591" s="2"/>
    </row>
    <row r="592" ht="14.25" customHeight="1">
      <c r="C592" s="39"/>
      <c r="T592" s="2"/>
    </row>
    <row r="593" ht="14.25" customHeight="1">
      <c r="C593" s="39"/>
      <c r="T593" s="2"/>
    </row>
    <row r="594" ht="14.25" customHeight="1">
      <c r="C594" s="39"/>
      <c r="T594" s="2"/>
    </row>
    <row r="595" ht="14.25" customHeight="1">
      <c r="C595" s="39"/>
      <c r="T595" s="2"/>
    </row>
    <row r="596" ht="14.25" customHeight="1">
      <c r="C596" s="39"/>
      <c r="T596" s="2"/>
    </row>
    <row r="597" ht="14.25" customHeight="1">
      <c r="C597" s="39"/>
      <c r="T597" s="2"/>
    </row>
    <row r="598" ht="14.25" customHeight="1">
      <c r="C598" s="39"/>
      <c r="T598" s="2"/>
    </row>
    <row r="599" ht="14.25" customHeight="1">
      <c r="C599" s="39"/>
      <c r="T599" s="2"/>
    </row>
    <row r="600" ht="14.25" customHeight="1">
      <c r="C600" s="39"/>
      <c r="T600" s="2"/>
    </row>
    <row r="601" ht="14.25" customHeight="1">
      <c r="C601" s="39"/>
      <c r="T601" s="2"/>
    </row>
    <row r="602" ht="14.25" customHeight="1">
      <c r="C602" s="39"/>
      <c r="T602" s="2"/>
    </row>
    <row r="603" ht="14.25" customHeight="1">
      <c r="C603" s="39"/>
      <c r="T603" s="2"/>
    </row>
    <row r="604" ht="14.25" customHeight="1">
      <c r="C604" s="39"/>
      <c r="T604" s="2"/>
    </row>
    <row r="605" ht="14.25" customHeight="1">
      <c r="C605" s="39"/>
      <c r="T605" s="2"/>
    </row>
    <row r="606" ht="14.25" customHeight="1">
      <c r="C606" s="39"/>
      <c r="T606" s="2"/>
    </row>
    <row r="607" ht="14.25" customHeight="1">
      <c r="C607" s="39"/>
      <c r="T607" s="2"/>
    </row>
    <row r="608" ht="14.25" customHeight="1">
      <c r="C608" s="39"/>
      <c r="T608" s="2"/>
    </row>
    <row r="609" ht="14.25" customHeight="1">
      <c r="C609" s="39"/>
      <c r="T609" s="2"/>
    </row>
    <row r="610" ht="14.25" customHeight="1">
      <c r="C610" s="39"/>
      <c r="T610" s="2"/>
    </row>
    <row r="611" ht="14.25" customHeight="1">
      <c r="C611" s="39"/>
      <c r="T611" s="2"/>
    </row>
    <row r="612" ht="14.25" customHeight="1">
      <c r="C612" s="39"/>
      <c r="T612" s="2"/>
    </row>
    <row r="613" ht="14.25" customHeight="1">
      <c r="C613" s="39"/>
      <c r="T613" s="2"/>
    </row>
    <row r="614" ht="14.25" customHeight="1">
      <c r="C614" s="39"/>
      <c r="T614" s="2"/>
    </row>
    <row r="615" ht="14.25" customHeight="1">
      <c r="C615" s="39"/>
      <c r="T615" s="2"/>
    </row>
    <row r="616" ht="14.25" customHeight="1">
      <c r="C616" s="39"/>
      <c r="T616" s="2"/>
    </row>
    <row r="617" ht="14.25" customHeight="1">
      <c r="C617" s="39"/>
      <c r="T617" s="2"/>
    </row>
    <row r="618" ht="14.25" customHeight="1">
      <c r="C618" s="39"/>
      <c r="T618" s="2"/>
    </row>
    <row r="619" ht="14.25" customHeight="1">
      <c r="C619" s="39"/>
      <c r="T619" s="2"/>
    </row>
    <row r="620" ht="14.25" customHeight="1">
      <c r="C620" s="39"/>
      <c r="T620" s="2"/>
    </row>
    <row r="621" ht="14.25" customHeight="1">
      <c r="C621" s="39"/>
      <c r="T621" s="2"/>
    </row>
    <row r="622" ht="14.25" customHeight="1">
      <c r="C622" s="39"/>
      <c r="T622" s="2"/>
    </row>
    <row r="623" ht="14.25" customHeight="1">
      <c r="C623" s="39"/>
      <c r="T623" s="2"/>
    </row>
    <row r="624" ht="14.25" customHeight="1">
      <c r="C624" s="39"/>
      <c r="T624" s="2"/>
    </row>
    <row r="625" ht="14.25" customHeight="1">
      <c r="C625" s="39"/>
      <c r="T625" s="2"/>
    </row>
    <row r="626" ht="14.25" customHeight="1">
      <c r="C626" s="39"/>
      <c r="T626" s="2"/>
    </row>
    <row r="627" ht="14.25" customHeight="1">
      <c r="C627" s="39"/>
      <c r="T627" s="2"/>
    </row>
    <row r="628" ht="14.25" customHeight="1">
      <c r="C628" s="39"/>
      <c r="T628" s="2"/>
    </row>
    <row r="629" ht="14.25" customHeight="1">
      <c r="C629" s="39"/>
      <c r="T629" s="2"/>
    </row>
    <row r="630" ht="14.25" customHeight="1">
      <c r="C630" s="39"/>
      <c r="T630" s="2"/>
    </row>
    <row r="631" ht="14.25" customHeight="1">
      <c r="C631" s="39"/>
      <c r="T631" s="2"/>
    </row>
    <row r="632" ht="14.25" customHeight="1">
      <c r="C632" s="39"/>
      <c r="T632" s="2"/>
    </row>
    <row r="633" ht="14.25" customHeight="1">
      <c r="C633" s="39"/>
      <c r="T633" s="2"/>
    </row>
    <row r="634" ht="14.25" customHeight="1">
      <c r="C634" s="39"/>
      <c r="T634" s="2"/>
    </row>
    <row r="635" ht="14.25" customHeight="1">
      <c r="C635" s="39"/>
      <c r="T635" s="2"/>
    </row>
    <row r="636" ht="14.25" customHeight="1">
      <c r="C636" s="39"/>
      <c r="T636" s="2"/>
    </row>
    <row r="637" ht="14.25" customHeight="1">
      <c r="C637" s="39"/>
      <c r="T637" s="2"/>
    </row>
    <row r="638" ht="14.25" customHeight="1">
      <c r="C638" s="39"/>
      <c r="T638" s="2"/>
    </row>
    <row r="639" ht="14.25" customHeight="1">
      <c r="C639" s="39"/>
      <c r="T639" s="2"/>
    </row>
    <row r="640" ht="14.25" customHeight="1">
      <c r="C640" s="39"/>
      <c r="T640" s="2"/>
    </row>
    <row r="641" ht="14.25" customHeight="1">
      <c r="C641" s="39"/>
      <c r="T641" s="2"/>
    </row>
    <row r="642" ht="14.25" customHeight="1">
      <c r="C642" s="39"/>
      <c r="T642" s="2"/>
    </row>
    <row r="643" ht="14.25" customHeight="1">
      <c r="C643" s="39"/>
      <c r="T643" s="2"/>
    </row>
    <row r="644" ht="14.25" customHeight="1">
      <c r="C644" s="39"/>
      <c r="T644" s="2"/>
    </row>
    <row r="645" ht="14.25" customHeight="1">
      <c r="C645" s="39"/>
      <c r="T645" s="2"/>
    </row>
    <row r="646" ht="14.25" customHeight="1">
      <c r="C646" s="39"/>
      <c r="T646" s="2"/>
    </row>
    <row r="647" ht="14.25" customHeight="1">
      <c r="C647" s="39"/>
      <c r="T647" s="2"/>
    </row>
    <row r="648" ht="14.25" customHeight="1">
      <c r="C648" s="39"/>
      <c r="T648" s="2"/>
    </row>
    <row r="649" ht="14.25" customHeight="1">
      <c r="C649" s="39"/>
      <c r="T649" s="2"/>
    </row>
    <row r="650" ht="14.25" customHeight="1">
      <c r="C650" s="39"/>
      <c r="T650" s="2"/>
    </row>
    <row r="651" ht="14.25" customHeight="1">
      <c r="C651" s="39"/>
      <c r="T651" s="2"/>
    </row>
    <row r="652" ht="14.25" customHeight="1">
      <c r="C652" s="39"/>
      <c r="T652" s="2"/>
    </row>
    <row r="653" ht="14.25" customHeight="1">
      <c r="C653" s="39"/>
      <c r="T653" s="2"/>
    </row>
    <row r="654" ht="14.25" customHeight="1">
      <c r="C654" s="39"/>
      <c r="T654" s="2"/>
    </row>
    <row r="655" ht="14.25" customHeight="1">
      <c r="C655" s="39"/>
      <c r="T655" s="2"/>
    </row>
    <row r="656" ht="14.25" customHeight="1">
      <c r="C656" s="39"/>
      <c r="T656" s="2"/>
    </row>
    <row r="657" ht="14.25" customHeight="1">
      <c r="C657" s="39"/>
      <c r="T657" s="2"/>
    </row>
    <row r="658" ht="14.25" customHeight="1">
      <c r="C658" s="39"/>
      <c r="T658" s="2"/>
    </row>
    <row r="659" ht="14.25" customHeight="1">
      <c r="C659" s="39"/>
      <c r="T659" s="2"/>
    </row>
    <row r="660" ht="14.25" customHeight="1">
      <c r="C660" s="39"/>
      <c r="T660" s="2"/>
    </row>
    <row r="661" ht="14.25" customHeight="1">
      <c r="C661" s="39"/>
      <c r="T661" s="2"/>
    </row>
    <row r="662" ht="14.25" customHeight="1">
      <c r="C662" s="39"/>
      <c r="T662" s="2"/>
    </row>
    <row r="663" ht="14.25" customHeight="1">
      <c r="C663" s="39"/>
      <c r="T663" s="2"/>
    </row>
    <row r="664" ht="14.25" customHeight="1">
      <c r="C664" s="39"/>
      <c r="T664" s="2"/>
    </row>
    <row r="665" ht="14.25" customHeight="1">
      <c r="C665" s="39"/>
      <c r="T665" s="2"/>
    </row>
    <row r="666" ht="14.25" customHeight="1">
      <c r="C666" s="39"/>
      <c r="T666" s="2"/>
    </row>
    <row r="667" ht="14.25" customHeight="1">
      <c r="C667" s="39"/>
      <c r="T667" s="2"/>
    </row>
    <row r="668" ht="14.25" customHeight="1">
      <c r="C668" s="39"/>
      <c r="T668" s="2"/>
    </row>
    <row r="669" ht="14.25" customHeight="1">
      <c r="C669" s="39"/>
      <c r="T669" s="2"/>
    </row>
    <row r="670" ht="14.25" customHeight="1">
      <c r="C670" s="39"/>
      <c r="T670" s="2"/>
    </row>
    <row r="671" ht="14.25" customHeight="1">
      <c r="C671" s="39"/>
      <c r="T671" s="2"/>
    </row>
    <row r="672" ht="14.25" customHeight="1">
      <c r="C672" s="39"/>
      <c r="T672" s="2"/>
    </row>
    <row r="673" ht="14.25" customHeight="1">
      <c r="C673" s="39"/>
      <c r="T673" s="2"/>
    </row>
    <row r="674" ht="14.25" customHeight="1">
      <c r="C674" s="39"/>
      <c r="T674" s="2"/>
    </row>
    <row r="675" ht="14.25" customHeight="1">
      <c r="C675" s="39"/>
      <c r="T675" s="2"/>
    </row>
    <row r="676" ht="14.25" customHeight="1">
      <c r="C676" s="39"/>
      <c r="T676" s="2"/>
    </row>
    <row r="677" ht="14.25" customHeight="1">
      <c r="C677" s="39"/>
      <c r="T677" s="2"/>
    </row>
    <row r="678" ht="14.25" customHeight="1">
      <c r="C678" s="39"/>
      <c r="T678" s="2"/>
    </row>
    <row r="679" ht="14.25" customHeight="1">
      <c r="C679" s="39"/>
      <c r="T679" s="2"/>
    </row>
    <row r="680" ht="14.25" customHeight="1">
      <c r="C680" s="39"/>
      <c r="T680" s="2"/>
    </row>
    <row r="681" ht="14.25" customHeight="1">
      <c r="C681" s="39"/>
      <c r="T681" s="2"/>
    </row>
    <row r="682" ht="14.25" customHeight="1">
      <c r="C682" s="39"/>
      <c r="T682" s="2"/>
    </row>
    <row r="683" ht="14.25" customHeight="1">
      <c r="C683" s="39"/>
      <c r="T683" s="2"/>
    </row>
    <row r="684" ht="14.25" customHeight="1">
      <c r="C684" s="39"/>
      <c r="T684" s="2"/>
    </row>
    <row r="685" ht="14.25" customHeight="1">
      <c r="C685" s="39"/>
      <c r="T685" s="2"/>
    </row>
    <row r="686" ht="14.25" customHeight="1">
      <c r="C686" s="39"/>
      <c r="T686" s="2"/>
    </row>
    <row r="687" ht="14.25" customHeight="1">
      <c r="C687" s="39"/>
      <c r="T687" s="2"/>
    </row>
    <row r="688" ht="14.25" customHeight="1">
      <c r="C688" s="39"/>
      <c r="T688" s="2"/>
    </row>
    <row r="689" ht="14.25" customHeight="1">
      <c r="C689" s="39"/>
      <c r="T689" s="2"/>
    </row>
    <row r="690" ht="14.25" customHeight="1">
      <c r="C690" s="39"/>
      <c r="T690" s="2"/>
    </row>
    <row r="691" ht="14.25" customHeight="1">
      <c r="C691" s="39"/>
      <c r="T691" s="2"/>
    </row>
    <row r="692" ht="14.25" customHeight="1">
      <c r="C692" s="39"/>
      <c r="T692" s="2"/>
    </row>
    <row r="693" ht="14.25" customHeight="1">
      <c r="C693" s="39"/>
      <c r="T693" s="2"/>
    </row>
    <row r="694" ht="14.25" customHeight="1">
      <c r="C694" s="39"/>
      <c r="T694" s="2"/>
    </row>
    <row r="695" ht="14.25" customHeight="1">
      <c r="C695" s="39"/>
      <c r="T695" s="2"/>
    </row>
    <row r="696" ht="14.25" customHeight="1">
      <c r="C696" s="39"/>
      <c r="T696" s="2"/>
    </row>
    <row r="697" ht="14.25" customHeight="1">
      <c r="C697" s="39"/>
      <c r="T697" s="2"/>
    </row>
    <row r="698" ht="14.25" customHeight="1">
      <c r="C698" s="39"/>
      <c r="T698" s="2"/>
    </row>
    <row r="699" ht="14.25" customHeight="1">
      <c r="C699" s="39"/>
      <c r="T699" s="2"/>
    </row>
    <row r="700" ht="14.25" customHeight="1">
      <c r="C700" s="39"/>
      <c r="T700" s="2"/>
    </row>
    <row r="701" ht="14.25" customHeight="1">
      <c r="C701" s="39"/>
      <c r="T701" s="2"/>
    </row>
    <row r="702" ht="14.25" customHeight="1">
      <c r="C702" s="39"/>
      <c r="T702" s="2"/>
    </row>
    <row r="703" ht="14.25" customHeight="1">
      <c r="C703" s="39"/>
      <c r="T703" s="2"/>
    </row>
    <row r="704" ht="14.25" customHeight="1">
      <c r="C704" s="39"/>
      <c r="T704" s="2"/>
    </row>
    <row r="705" ht="14.25" customHeight="1">
      <c r="C705" s="39"/>
      <c r="T705" s="2"/>
    </row>
    <row r="706" ht="14.25" customHeight="1">
      <c r="C706" s="39"/>
      <c r="T706" s="2"/>
    </row>
    <row r="707" ht="14.25" customHeight="1">
      <c r="C707" s="39"/>
      <c r="T707" s="2"/>
    </row>
    <row r="708" ht="14.25" customHeight="1">
      <c r="C708" s="39"/>
      <c r="T708" s="2"/>
    </row>
    <row r="709" ht="14.25" customHeight="1">
      <c r="C709" s="39"/>
      <c r="T709" s="2"/>
    </row>
    <row r="710" ht="14.25" customHeight="1">
      <c r="C710" s="39"/>
      <c r="T710" s="2"/>
    </row>
    <row r="711" ht="14.25" customHeight="1">
      <c r="C711" s="39"/>
      <c r="T711" s="2"/>
    </row>
    <row r="712" ht="14.25" customHeight="1">
      <c r="C712" s="39"/>
      <c r="T712" s="2"/>
    </row>
    <row r="713" ht="14.25" customHeight="1">
      <c r="C713" s="39"/>
      <c r="T713" s="2"/>
    </row>
    <row r="714" ht="14.25" customHeight="1">
      <c r="C714" s="39"/>
      <c r="T714" s="2"/>
    </row>
    <row r="715" ht="14.25" customHeight="1">
      <c r="C715" s="39"/>
      <c r="T715" s="2"/>
    </row>
    <row r="716" ht="14.25" customHeight="1">
      <c r="C716" s="39"/>
      <c r="T716" s="2"/>
    </row>
    <row r="717" ht="14.25" customHeight="1">
      <c r="C717" s="39"/>
      <c r="T717" s="2"/>
    </row>
    <row r="718" ht="14.25" customHeight="1">
      <c r="C718" s="39"/>
      <c r="T718" s="2"/>
    </row>
    <row r="719" ht="14.25" customHeight="1">
      <c r="C719" s="39"/>
      <c r="T719" s="2"/>
    </row>
    <row r="720" ht="14.25" customHeight="1">
      <c r="C720" s="39"/>
      <c r="T720" s="2"/>
    </row>
    <row r="721" ht="14.25" customHeight="1">
      <c r="C721" s="39"/>
      <c r="T721" s="2"/>
    </row>
    <row r="722" ht="14.25" customHeight="1">
      <c r="C722" s="39"/>
      <c r="T722" s="2"/>
    </row>
    <row r="723" ht="14.25" customHeight="1">
      <c r="C723" s="39"/>
      <c r="T723" s="2"/>
    </row>
    <row r="724" ht="14.25" customHeight="1">
      <c r="C724" s="39"/>
      <c r="T724" s="2"/>
    </row>
    <row r="725" ht="14.25" customHeight="1">
      <c r="C725" s="39"/>
      <c r="T725" s="2"/>
    </row>
    <row r="726" ht="14.25" customHeight="1">
      <c r="C726" s="39"/>
      <c r="T726" s="2"/>
    </row>
    <row r="727" ht="14.25" customHeight="1">
      <c r="C727" s="39"/>
      <c r="T727" s="2"/>
    </row>
    <row r="728" ht="14.25" customHeight="1">
      <c r="C728" s="39"/>
      <c r="T728" s="2"/>
    </row>
    <row r="729" ht="14.25" customHeight="1">
      <c r="C729" s="39"/>
      <c r="T729" s="2"/>
    </row>
    <row r="730" ht="14.25" customHeight="1">
      <c r="C730" s="39"/>
      <c r="T730" s="2"/>
    </row>
    <row r="731" ht="14.25" customHeight="1">
      <c r="C731" s="39"/>
      <c r="T731" s="2"/>
    </row>
    <row r="732" ht="14.25" customHeight="1">
      <c r="C732" s="39"/>
      <c r="T732" s="2"/>
    </row>
    <row r="733" ht="14.25" customHeight="1">
      <c r="C733" s="39"/>
      <c r="T733" s="2"/>
    </row>
    <row r="734" ht="14.25" customHeight="1">
      <c r="C734" s="39"/>
      <c r="T734" s="2"/>
    </row>
    <row r="735" ht="14.25" customHeight="1">
      <c r="C735" s="39"/>
      <c r="T735" s="2"/>
    </row>
    <row r="736" ht="14.25" customHeight="1">
      <c r="C736" s="39"/>
      <c r="T736" s="2"/>
    </row>
    <row r="737" ht="14.25" customHeight="1">
      <c r="C737" s="39"/>
      <c r="T737" s="2"/>
    </row>
    <row r="738" ht="14.25" customHeight="1">
      <c r="C738" s="39"/>
      <c r="T738" s="2"/>
    </row>
    <row r="739" ht="14.25" customHeight="1">
      <c r="C739" s="39"/>
      <c r="T739" s="2"/>
    </row>
    <row r="740" ht="14.25" customHeight="1">
      <c r="C740" s="39"/>
      <c r="T740" s="2"/>
    </row>
    <row r="741" ht="14.25" customHeight="1">
      <c r="C741" s="39"/>
      <c r="T741" s="2"/>
    </row>
    <row r="742" ht="14.25" customHeight="1">
      <c r="C742" s="39"/>
      <c r="T742" s="2"/>
    </row>
    <row r="743" ht="14.25" customHeight="1">
      <c r="C743" s="39"/>
      <c r="T743" s="2"/>
    </row>
    <row r="744" ht="14.25" customHeight="1">
      <c r="C744" s="39"/>
      <c r="T744" s="2"/>
    </row>
    <row r="745" ht="14.25" customHeight="1">
      <c r="C745" s="39"/>
      <c r="T745" s="2"/>
    </row>
    <row r="746" ht="14.25" customHeight="1">
      <c r="C746" s="39"/>
      <c r="T746" s="2"/>
    </row>
    <row r="747" ht="14.25" customHeight="1">
      <c r="C747" s="39"/>
      <c r="T747" s="2"/>
    </row>
    <row r="748" ht="14.25" customHeight="1">
      <c r="C748" s="39"/>
      <c r="T748" s="2"/>
    </row>
    <row r="749" ht="14.25" customHeight="1">
      <c r="C749" s="39"/>
      <c r="T749" s="2"/>
    </row>
    <row r="750" ht="14.25" customHeight="1">
      <c r="C750" s="39"/>
      <c r="T750" s="2"/>
    </row>
    <row r="751" ht="14.25" customHeight="1">
      <c r="C751" s="39"/>
      <c r="T751" s="2"/>
    </row>
    <row r="752" ht="14.25" customHeight="1">
      <c r="C752" s="39"/>
      <c r="T752" s="2"/>
    </row>
    <row r="753" ht="14.25" customHeight="1">
      <c r="C753" s="39"/>
      <c r="T753" s="2"/>
    </row>
    <row r="754" ht="14.25" customHeight="1">
      <c r="C754" s="39"/>
      <c r="T754" s="2"/>
    </row>
    <row r="755" ht="14.25" customHeight="1">
      <c r="C755" s="39"/>
      <c r="T755" s="2"/>
    </row>
    <row r="756" ht="14.25" customHeight="1">
      <c r="C756" s="39"/>
      <c r="T756" s="2"/>
    </row>
    <row r="757" ht="14.25" customHeight="1">
      <c r="C757" s="39"/>
      <c r="T757" s="2"/>
    </row>
    <row r="758" ht="14.25" customHeight="1">
      <c r="C758" s="39"/>
      <c r="T758" s="2"/>
    </row>
    <row r="759" ht="14.25" customHeight="1">
      <c r="C759" s="39"/>
      <c r="T759" s="2"/>
    </row>
    <row r="760" ht="14.25" customHeight="1">
      <c r="C760" s="39"/>
      <c r="T760" s="2"/>
    </row>
    <row r="761" ht="14.25" customHeight="1">
      <c r="C761" s="39"/>
      <c r="T761" s="2"/>
    </row>
    <row r="762" ht="14.25" customHeight="1">
      <c r="C762" s="39"/>
      <c r="T762" s="2"/>
    </row>
    <row r="763" ht="14.25" customHeight="1">
      <c r="C763" s="39"/>
      <c r="T763" s="2"/>
    </row>
    <row r="764" ht="14.25" customHeight="1">
      <c r="C764" s="39"/>
      <c r="T764" s="2"/>
    </row>
    <row r="765" ht="14.25" customHeight="1">
      <c r="C765" s="39"/>
      <c r="T765" s="2"/>
    </row>
    <row r="766" ht="14.25" customHeight="1">
      <c r="C766" s="39"/>
      <c r="T766" s="2"/>
    </row>
    <row r="767" ht="14.25" customHeight="1">
      <c r="C767" s="39"/>
      <c r="T767" s="2"/>
    </row>
    <row r="768" ht="14.25" customHeight="1">
      <c r="C768" s="39"/>
      <c r="T768" s="2"/>
    </row>
    <row r="769" ht="14.25" customHeight="1">
      <c r="C769" s="39"/>
      <c r="T769" s="2"/>
    </row>
    <row r="770" ht="14.25" customHeight="1">
      <c r="C770" s="39"/>
      <c r="T770" s="2"/>
    </row>
    <row r="771" ht="14.25" customHeight="1">
      <c r="C771" s="39"/>
      <c r="T771" s="2"/>
    </row>
    <row r="772" ht="14.25" customHeight="1">
      <c r="C772" s="39"/>
      <c r="T772" s="2"/>
    </row>
    <row r="773" ht="14.25" customHeight="1">
      <c r="C773" s="39"/>
      <c r="T773" s="2"/>
    </row>
    <row r="774" ht="14.25" customHeight="1">
      <c r="C774" s="39"/>
      <c r="T774" s="2"/>
    </row>
    <row r="775" ht="14.25" customHeight="1">
      <c r="C775" s="39"/>
      <c r="T775" s="2"/>
    </row>
    <row r="776" ht="14.25" customHeight="1">
      <c r="C776" s="39"/>
      <c r="T776" s="2"/>
    </row>
    <row r="777" ht="14.25" customHeight="1">
      <c r="C777" s="39"/>
      <c r="T777" s="2"/>
    </row>
    <row r="778" ht="14.25" customHeight="1">
      <c r="C778" s="39"/>
      <c r="T778" s="2"/>
    </row>
    <row r="779" ht="14.25" customHeight="1">
      <c r="C779" s="39"/>
      <c r="T779" s="2"/>
    </row>
    <row r="780" ht="14.25" customHeight="1">
      <c r="C780" s="39"/>
      <c r="T780" s="2"/>
    </row>
    <row r="781" ht="14.25" customHeight="1">
      <c r="C781" s="39"/>
      <c r="T781" s="2"/>
    </row>
    <row r="782" ht="14.25" customHeight="1">
      <c r="C782" s="39"/>
      <c r="T782" s="2"/>
    </row>
    <row r="783" ht="14.25" customHeight="1">
      <c r="C783" s="39"/>
      <c r="T783" s="2"/>
    </row>
    <row r="784" ht="14.25" customHeight="1">
      <c r="C784" s="39"/>
      <c r="T784" s="2"/>
    </row>
    <row r="785" ht="14.25" customHeight="1">
      <c r="C785" s="39"/>
      <c r="T785" s="2"/>
    </row>
    <row r="786" ht="14.25" customHeight="1">
      <c r="C786" s="39"/>
      <c r="T786" s="2"/>
    </row>
    <row r="787" ht="14.25" customHeight="1">
      <c r="C787" s="39"/>
      <c r="T787" s="2"/>
    </row>
    <row r="788" ht="14.25" customHeight="1">
      <c r="C788" s="39"/>
      <c r="T788" s="2"/>
    </row>
    <row r="789" ht="14.25" customHeight="1">
      <c r="C789" s="39"/>
      <c r="T789" s="2"/>
    </row>
    <row r="790" ht="14.25" customHeight="1">
      <c r="C790" s="39"/>
      <c r="T790" s="2"/>
    </row>
    <row r="791" ht="14.25" customHeight="1">
      <c r="C791" s="39"/>
      <c r="T791" s="2"/>
    </row>
    <row r="792" ht="14.25" customHeight="1">
      <c r="C792" s="39"/>
      <c r="T792" s="2"/>
    </row>
    <row r="793" ht="14.25" customHeight="1">
      <c r="C793" s="39"/>
      <c r="T793" s="2"/>
    </row>
    <row r="794" ht="14.25" customHeight="1">
      <c r="C794" s="39"/>
      <c r="T794" s="2"/>
    </row>
    <row r="795" ht="14.25" customHeight="1">
      <c r="C795" s="39"/>
      <c r="T795" s="2"/>
    </row>
    <row r="796" ht="14.25" customHeight="1">
      <c r="C796" s="39"/>
      <c r="T796" s="2"/>
    </row>
    <row r="797" ht="14.25" customHeight="1">
      <c r="C797" s="39"/>
      <c r="T797" s="2"/>
    </row>
    <row r="798" ht="14.25" customHeight="1">
      <c r="C798" s="39"/>
      <c r="T798" s="2"/>
    </row>
    <row r="799" ht="14.25" customHeight="1">
      <c r="C799" s="39"/>
      <c r="T799" s="2"/>
    </row>
    <row r="800" ht="14.25" customHeight="1">
      <c r="C800" s="39"/>
      <c r="T800" s="2"/>
    </row>
    <row r="801" ht="14.25" customHeight="1">
      <c r="C801" s="39"/>
      <c r="T801" s="2"/>
    </row>
    <row r="802" ht="14.25" customHeight="1">
      <c r="C802" s="39"/>
      <c r="T802" s="2"/>
    </row>
    <row r="803" ht="14.25" customHeight="1">
      <c r="C803" s="39"/>
      <c r="T803" s="2"/>
    </row>
    <row r="804" ht="14.25" customHeight="1">
      <c r="C804" s="39"/>
      <c r="T804" s="2"/>
    </row>
    <row r="805" ht="14.25" customHeight="1">
      <c r="C805" s="39"/>
      <c r="T805" s="2"/>
    </row>
    <row r="806" ht="14.25" customHeight="1">
      <c r="C806" s="39"/>
      <c r="T806" s="2"/>
    </row>
    <row r="807" ht="14.25" customHeight="1">
      <c r="C807" s="39"/>
      <c r="T807" s="2"/>
    </row>
    <row r="808" ht="14.25" customHeight="1">
      <c r="C808" s="39"/>
      <c r="T808" s="2"/>
    </row>
    <row r="809" ht="14.25" customHeight="1">
      <c r="C809" s="39"/>
      <c r="T809" s="2"/>
    </row>
    <row r="810" ht="14.25" customHeight="1">
      <c r="C810" s="39"/>
      <c r="T810" s="2"/>
    </row>
    <row r="811" ht="14.25" customHeight="1">
      <c r="C811" s="39"/>
      <c r="T811" s="2"/>
    </row>
    <row r="812" ht="14.25" customHeight="1">
      <c r="C812" s="39"/>
      <c r="T812" s="2"/>
    </row>
    <row r="813" ht="14.25" customHeight="1">
      <c r="C813" s="39"/>
      <c r="T813" s="2"/>
    </row>
    <row r="814" ht="14.25" customHeight="1">
      <c r="C814" s="39"/>
      <c r="T814" s="2"/>
    </row>
    <row r="815" ht="14.25" customHeight="1">
      <c r="C815" s="39"/>
      <c r="T815" s="2"/>
    </row>
    <row r="816" ht="14.25" customHeight="1">
      <c r="C816" s="39"/>
      <c r="T816" s="2"/>
    </row>
    <row r="817" ht="14.25" customHeight="1">
      <c r="C817" s="39"/>
      <c r="T817" s="2"/>
    </row>
    <row r="818" ht="14.25" customHeight="1">
      <c r="C818" s="39"/>
      <c r="T818" s="2"/>
    </row>
    <row r="819" ht="14.25" customHeight="1">
      <c r="C819" s="39"/>
      <c r="T819" s="2"/>
    </row>
    <row r="820" ht="14.25" customHeight="1">
      <c r="C820" s="39"/>
      <c r="T820" s="2"/>
    </row>
    <row r="821" ht="14.25" customHeight="1">
      <c r="C821" s="39"/>
      <c r="T821" s="2"/>
    </row>
    <row r="822" ht="14.25" customHeight="1">
      <c r="C822" s="39"/>
      <c r="T822" s="2"/>
    </row>
    <row r="823" ht="14.25" customHeight="1">
      <c r="C823" s="39"/>
      <c r="T823" s="2"/>
    </row>
    <row r="824" ht="14.25" customHeight="1">
      <c r="C824" s="39"/>
      <c r="T824" s="2"/>
    </row>
    <row r="825" ht="14.25" customHeight="1">
      <c r="C825" s="39"/>
      <c r="T825" s="2"/>
    </row>
    <row r="826" ht="14.25" customHeight="1">
      <c r="C826" s="39"/>
      <c r="T826" s="2"/>
    </row>
    <row r="827" ht="14.25" customHeight="1">
      <c r="C827" s="39"/>
      <c r="T827" s="2"/>
    </row>
    <row r="828" ht="14.25" customHeight="1">
      <c r="C828" s="39"/>
      <c r="T828" s="2"/>
    </row>
    <row r="829" ht="14.25" customHeight="1">
      <c r="C829" s="39"/>
      <c r="T829" s="2"/>
    </row>
    <row r="830" ht="14.25" customHeight="1">
      <c r="C830" s="39"/>
      <c r="T830" s="2"/>
    </row>
    <row r="831" ht="14.25" customHeight="1">
      <c r="C831" s="39"/>
      <c r="T831" s="2"/>
    </row>
    <row r="832" ht="14.25" customHeight="1">
      <c r="C832" s="39"/>
      <c r="T832" s="2"/>
    </row>
    <row r="833" ht="14.25" customHeight="1">
      <c r="C833" s="39"/>
      <c r="T833" s="2"/>
    </row>
    <row r="834" ht="14.25" customHeight="1">
      <c r="C834" s="39"/>
      <c r="T834" s="2"/>
    </row>
    <row r="835" ht="14.25" customHeight="1">
      <c r="C835" s="39"/>
      <c r="T835" s="2"/>
    </row>
    <row r="836" ht="14.25" customHeight="1">
      <c r="C836" s="39"/>
      <c r="T836" s="2"/>
    </row>
    <row r="837" ht="14.25" customHeight="1">
      <c r="C837" s="39"/>
      <c r="T837" s="2"/>
    </row>
    <row r="838" ht="14.25" customHeight="1">
      <c r="C838" s="39"/>
      <c r="T838" s="2"/>
    </row>
    <row r="839" ht="14.25" customHeight="1">
      <c r="C839" s="39"/>
      <c r="T839" s="2"/>
    </row>
    <row r="840" ht="14.25" customHeight="1">
      <c r="C840" s="39"/>
      <c r="T840" s="2"/>
    </row>
    <row r="841" ht="14.25" customHeight="1">
      <c r="C841" s="39"/>
      <c r="T841" s="2"/>
    </row>
    <row r="842" ht="14.25" customHeight="1">
      <c r="C842" s="39"/>
      <c r="T842" s="2"/>
    </row>
    <row r="843" ht="14.25" customHeight="1">
      <c r="C843" s="39"/>
      <c r="T843" s="2"/>
    </row>
    <row r="844" ht="14.25" customHeight="1">
      <c r="C844" s="39"/>
      <c r="T844" s="2"/>
    </row>
    <row r="845" ht="14.25" customHeight="1">
      <c r="C845" s="39"/>
      <c r="T845" s="2"/>
    </row>
    <row r="846" ht="14.25" customHeight="1">
      <c r="C846" s="39"/>
      <c r="T846" s="2"/>
    </row>
    <row r="847" ht="14.25" customHeight="1">
      <c r="C847" s="39"/>
      <c r="T847" s="2"/>
    </row>
    <row r="848" ht="14.25" customHeight="1">
      <c r="C848" s="39"/>
      <c r="T848" s="2"/>
    </row>
    <row r="849" ht="14.25" customHeight="1">
      <c r="C849" s="39"/>
      <c r="T849" s="2"/>
    </row>
    <row r="850" ht="14.25" customHeight="1">
      <c r="C850" s="39"/>
      <c r="T850" s="2"/>
    </row>
    <row r="851" ht="14.25" customHeight="1">
      <c r="C851" s="39"/>
      <c r="T851" s="2"/>
    </row>
    <row r="852" ht="14.25" customHeight="1">
      <c r="C852" s="39"/>
      <c r="T852" s="2"/>
    </row>
    <row r="853" ht="14.25" customHeight="1">
      <c r="C853" s="39"/>
      <c r="T853" s="2"/>
    </row>
    <row r="854" ht="14.25" customHeight="1">
      <c r="C854" s="39"/>
      <c r="T854" s="2"/>
    </row>
    <row r="855" ht="14.25" customHeight="1">
      <c r="C855" s="39"/>
      <c r="T855" s="2"/>
    </row>
    <row r="856" ht="14.25" customHeight="1">
      <c r="C856" s="39"/>
      <c r="T856" s="2"/>
    </row>
    <row r="857" ht="14.25" customHeight="1">
      <c r="C857" s="39"/>
      <c r="T857" s="2"/>
    </row>
    <row r="858" ht="14.25" customHeight="1">
      <c r="C858" s="39"/>
      <c r="T858" s="2"/>
    </row>
    <row r="859" ht="14.25" customHeight="1">
      <c r="C859" s="39"/>
      <c r="T859" s="2"/>
    </row>
    <row r="860" ht="14.25" customHeight="1">
      <c r="C860" s="39"/>
      <c r="T860" s="2"/>
    </row>
    <row r="861" ht="14.25" customHeight="1">
      <c r="C861" s="39"/>
      <c r="T861" s="2"/>
    </row>
    <row r="862" ht="14.25" customHeight="1">
      <c r="C862" s="39"/>
      <c r="T862" s="2"/>
    </row>
    <row r="863" ht="14.25" customHeight="1">
      <c r="C863" s="39"/>
      <c r="T863" s="2"/>
    </row>
    <row r="864" ht="14.25" customHeight="1">
      <c r="C864" s="39"/>
      <c r="T864" s="2"/>
    </row>
    <row r="865" ht="14.25" customHeight="1">
      <c r="C865" s="39"/>
      <c r="T865" s="2"/>
    </row>
    <row r="866" ht="14.25" customHeight="1">
      <c r="C866" s="39"/>
      <c r="T866" s="2"/>
    </row>
    <row r="867" ht="14.25" customHeight="1">
      <c r="C867" s="39"/>
      <c r="T867" s="2"/>
    </row>
    <row r="868" ht="14.25" customHeight="1">
      <c r="C868" s="39"/>
      <c r="T868" s="2"/>
    </row>
    <row r="869" ht="14.25" customHeight="1">
      <c r="C869" s="39"/>
      <c r="T869" s="2"/>
    </row>
    <row r="870" ht="14.25" customHeight="1">
      <c r="C870" s="39"/>
      <c r="T870" s="2"/>
    </row>
    <row r="871" ht="14.25" customHeight="1">
      <c r="C871" s="39"/>
      <c r="T871" s="2"/>
    </row>
    <row r="872" ht="14.25" customHeight="1">
      <c r="C872" s="39"/>
      <c r="T872" s="2"/>
    </row>
    <row r="873" ht="14.25" customHeight="1">
      <c r="C873" s="39"/>
      <c r="T873" s="2"/>
    </row>
    <row r="874" ht="14.25" customHeight="1">
      <c r="C874" s="39"/>
      <c r="T874" s="2"/>
    </row>
    <row r="875" ht="14.25" customHeight="1">
      <c r="C875" s="39"/>
      <c r="T875" s="2"/>
    </row>
    <row r="876" ht="14.25" customHeight="1">
      <c r="C876" s="39"/>
      <c r="T876" s="2"/>
    </row>
    <row r="877" ht="14.25" customHeight="1">
      <c r="C877" s="39"/>
      <c r="T877" s="2"/>
    </row>
    <row r="878" ht="14.25" customHeight="1">
      <c r="C878" s="39"/>
      <c r="T878" s="2"/>
    </row>
    <row r="879" ht="14.25" customHeight="1">
      <c r="C879" s="39"/>
      <c r="T879" s="2"/>
    </row>
    <row r="880" ht="14.25" customHeight="1">
      <c r="C880" s="39"/>
      <c r="T880" s="2"/>
    </row>
    <row r="881" ht="14.25" customHeight="1">
      <c r="C881" s="39"/>
      <c r="T881" s="2"/>
    </row>
    <row r="882" ht="14.25" customHeight="1">
      <c r="C882" s="39"/>
      <c r="T882" s="2"/>
    </row>
    <row r="883" ht="14.25" customHeight="1">
      <c r="C883" s="39"/>
      <c r="T883" s="2"/>
    </row>
    <row r="884" ht="14.25" customHeight="1">
      <c r="C884" s="39"/>
      <c r="T884" s="2"/>
    </row>
    <row r="885" ht="14.25" customHeight="1">
      <c r="C885" s="39"/>
      <c r="T885" s="2"/>
    </row>
    <row r="886" ht="14.25" customHeight="1">
      <c r="C886" s="39"/>
      <c r="T886" s="2"/>
    </row>
    <row r="887" ht="14.25" customHeight="1">
      <c r="C887" s="39"/>
      <c r="T887" s="2"/>
    </row>
    <row r="888" ht="14.25" customHeight="1">
      <c r="C888" s="39"/>
      <c r="T888" s="2"/>
    </row>
    <row r="889" ht="14.25" customHeight="1">
      <c r="C889" s="39"/>
      <c r="T889" s="2"/>
    </row>
    <row r="890" ht="14.25" customHeight="1">
      <c r="C890" s="39"/>
      <c r="T890" s="2"/>
    </row>
    <row r="891" ht="14.25" customHeight="1">
      <c r="C891" s="39"/>
      <c r="T891" s="2"/>
    </row>
    <row r="892" ht="14.25" customHeight="1">
      <c r="C892" s="39"/>
      <c r="T892" s="2"/>
    </row>
    <row r="893" ht="14.25" customHeight="1">
      <c r="C893" s="39"/>
      <c r="T893" s="2"/>
    </row>
    <row r="894" ht="14.25" customHeight="1">
      <c r="C894" s="39"/>
      <c r="T894" s="2"/>
    </row>
    <row r="895" ht="14.25" customHeight="1">
      <c r="C895" s="39"/>
      <c r="T895" s="2"/>
    </row>
    <row r="896" ht="14.25" customHeight="1">
      <c r="C896" s="39"/>
      <c r="T896" s="2"/>
    </row>
    <row r="897" ht="14.25" customHeight="1">
      <c r="C897" s="39"/>
      <c r="T897" s="2"/>
    </row>
    <row r="898" ht="14.25" customHeight="1">
      <c r="C898" s="39"/>
      <c r="T898" s="2"/>
    </row>
    <row r="899" ht="14.25" customHeight="1">
      <c r="C899" s="39"/>
      <c r="T899" s="2"/>
    </row>
    <row r="900" ht="14.25" customHeight="1">
      <c r="C900" s="39"/>
      <c r="T900" s="2"/>
    </row>
    <row r="901" ht="14.25" customHeight="1">
      <c r="C901" s="39"/>
      <c r="T901" s="2"/>
    </row>
    <row r="902" ht="14.25" customHeight="1">
      <c r="C902" s="39"/>
      <c r="T902" s="2"/>
    </row>
    <row r="903" ht="14.25" customHeight="1">
      <c r="C903" s="39"/>
      <c r="T903" s="2"/>
    </row>
    <row r="904" ht="14.25" customHeight="1">
      <c r="C904" s="39"/>
      <c r="T904" s="2"/>
    </row>
    <row r="905" ht="14.25" customHeight="1">
      <c r="C905" s="39"/>
      <c r="T905" s="2"/>
    </row>
    <row r="906" ht="14.25" customHeight="1">
      <c r="C906" s="39"/>
      <c r="T906" s="2"/>
    </row>
    <row r="907" ht="14.25" customHeight="1">
      <c r="C907" s="39"/>
      <c r="T907" s="2"/>
    </row>
    <row r="908" ht="14.25" customHeight="1">
      <c r="C908" s="39"/>
      <c r="T908" s="2"/>
    </row>
    <row r="909" ht="14.25" customHeight="1">
      <c r="C909" s="39"/>
      <c r="T909" s="2"/>
    </row>
    <row r="910" ht="14.25" customHeight="1">
      <c r="C910" s="39"/>
      <c r="T910" s="2"/>
    </row>
    <row r="911" ht="14.25" customHeight="1">
      <c r="C911" s="39"/>
      <c r="T911" s="2"/>
    </row>
    <row r="912" ht="14.25" customHeight="1">
      <c r="C912" s="39"/>
      <c r="T912" s="2"/>
    </row>
    <row r="913" ht="14.25" customHeight="1">
      <c r="C913" s="39"/>
      <c r="T913" s="2"/>
    </row>
    <row r="914" ht="14.25" customHeight="1">
      <c r="C914" s="39"/>
      <c r="T914" s="2"/>
    </row>
    <row r="915" ht="14.25" customHeight="1">
      <c r="C915" s="39"/>
      <c r="T915" s="2"/>
    </row>
    <row r="916" ht="14.25" customHeight="1">
      <c r="C916" s="39"/>
      <c r="T916" s="2"/>
    </row>
    <row r="917" ht="14.25" customHeight="1">
      <c r="C917" s="39"/>
      <c r="T917" s="2"/>
    </row>
    <row r="918" ht="14.25" customHeight="1">
      <c r="C918" s="39"/>
      <c r="T918" s="2"/>
    </row>
    <row r="919" ht="14.25" customHeight="1">
      <c r="C919" s="39"/>
      <c r="T919" s="2"/>
    </row>
    <row r="920" ht="14.25" customHeight="1">
      <c r="C920" s="39"/>
      <c r="T920" s="2"/>
    </row>
    <row r="921" ht="14.25" customHeight="1">
      <c r="C921" s="39"/>
      <c r="T921" s="2"/>
    </row>
    <row r="922" ht="14.25" customHeight="1">
      <c r="C922" s="39"/>
      <c r="T922" s="2"/>
    </row>
    <row r="923" ht="14.25" customHeight="1">
      <c r="C923" s="39"/>
      <c r="T923" s="2"/>
    </row>
    <row r="924" ht="14.25" customHeight="1">
      <c r="C924" s="39"/>
      <c r="T924" s="2"/>
    </row>
    <row r="925" ht="14.25" customHeight="1">
      <c r="C925" s="39"/>
      <c r="T925" s="2"/>
    </row>
    <row r="926" ht="14.25" customHeight="1">
      <c r="C926" s="39"/>
      <c r="T926" s="2"/>
    </row>
    <row r="927" ht="14.25" customHeight="1">
      <c r="C927" s="39"/>
      <c r="T927" s="2"/>
    </row>
    <row r="928" ht="14.25" customHeight="1">
      <c r="C928" s="39"/>
      <c r="T928" s="2"/>
    </row>
    <row r="929" ht="14.25" customHeight="1">
      <c r="C929" s="39"/>
      <c r="T929" s="2"/>
    </row>
    <row r="930" ht="14.25" customHeight="1">
      <c r="C930" s="39"/>
      <c r="T930" s="2"/>
    </row>
    <row r="931" ht="14.25" customHeight="1">
      <c r="C931" s="39"/>
      <c r="T931" s="2"/>
    </row>
    <row r="932" ht="14.25" customHeight="1">
      <c r="C932" s="39"/>
      <c r="T932" s="2"/>
    </row>
    <row r="933" ht="14.25" customHeight="1">
      <c r="C933" s="39"/>
      <c r="T933" s="2"/>
    </row>
    <row r="934" ht="14.25" customHeight="1">
      <c r="C934" s="39"/>
      <c r="T934" s="2"/>
    </row>
    <row r="935" ht="14.25" customHeight="1">
      <c r="C935" s="39"/>
      <c r="T935" s="2"/>
    </row>
    <row r="936" ht="14.25" customHeight="1">
      <c r="C936" s="39"/>
      <c r="T936" s="2"/>
    </row>
    <row r="937" ht="14.25" customHeight="1">
      <c r="C937" s="39"/>
      <c r="T937" s="2"/>
    </row>
    <row r="938" ht="14.25" customHeight="1">
      <c r="C938" s="39"/>
      <c r="T938" s="2"/>
    </row>
    <row r="939" ht="14.25" customHeight="1">
      <c r="C939" s="39"/>
      <c r="T939" s="2"/>
    </row>
    <row r="940" ht="14.25" customHeight="1">
      <c r="C940" s="39"/>
      <c r="T940" s="2"/>
    </row>
    <row r="941" ht="14.25" customHeight="1">
      <c r="C941" s="39"/>
      <c r="T941" s="2"/>
    </row>
    <row r="942" ht="14.25" customHeight="1">
      <c r="C942" s="39"/>
      <c r="T942" s="2"/>
    </row>
    <row r="943" ht="14.25" customHeight="1">
      <c r="C943" s="39"/>
      <c r="T943" s="2"/>
    </row>
    <row r="944" ht="14.25" customHeight="1">
      <c r="C944" s="39"/>
      <c r="T944" s="2"/>
    </row>
    <row r="945" ht="14.25" customHeight="1">
      <c r="C945" s="39"/>
      <c r="T945" s="2"/>
    </row>
    <row r="946" ht="14.25" customHeight="1">
      <c r="C946" s="39"/>
      <c r="T946" s="2"/>
    </row>
    <row r="947" ht="14.25" customHeight="1">
      <c r="C947" s="39"/>
      <c r="T947" s="2"/>
    </row>
    <row r="948" ht="14.25" customHeight="1">
      <c r="C948" s="39"/>
      <c r="T948" s="2"/>
    </row>
    <row r="949" ht="14.25" customHeight="1">
      <c r="C949" s="39"/>
      <c r="T949" s="2"/>
    </row>
    <row r="950" ht="14.25" customHeight="1">
      <c r="C950" s="39"/>
      <c r="T950" s="2"/>
    </row>
    <row r="951" ht="14.25" customHeight="1">
      <c r="C951" s="39"/>
      <c r="T951" s="2"/>
    </row>
    <row r="952" ht="14.25" customHeight="1">
      <c r="C952" s="39"/>
      <c r="T952" s="2"/>
    </row>
    <row r="953" ht="14.25" customHeight="1">
      <c r="C953" s="39"/>
      <c r="T953" s="2"/>
    </row>
    <row r="954" ht="14.25" customHeight="1">
      <c r="C954" s="39"/>
      <c r="T954" s="2"/>
    </row>
    <row r="955" ht="14.25" customHeight="1">
      <c r="C955" s="39"/>
      <c r="T955" s="2"/>
    </row>
    <row r="956" ht="14.25" customHeight="1">
      <c r="C956" s="39"/>
      <c r="T956" s="2"/>
    </row>
    <row r="957" ht="14.25" customHeight="1">
      <c r="C957" s="39"/>
      <c r="T957" s="2"/>
    </row>
    <row r="958" ht="14.25" customHeight="1">
      <c r="C958" s="39"/>
      <c r="T958" s="2"/>
    </row>
    <row r="959" ht="14.25" customHeight="1">
      <c r="C959" s="39"/>
      <c r="T959" s="2"/>
    </row>
    <row r="960" ht="14.25" customHeight="1">
      <c r="C960" s="39"/>
      <c r="T960" s="2"/>
    </row>
    <row r="961" ht="14.25" customHeight="1">
      <c r="C961" s="39"/>
      <c r="T961" s="2"/>
    </row>
    <row r="962" ht="14.25" customHeight="1">
      <c r="C962" s="39"/>
      <c r="T962" s="2"/>
    </row>
    <row r="963" ht="14.25" customHeight="1">
      <c r="C963" s="39"/>
      <c r="T963" s="2"/>
    </row>
    <row r="964" ht="14.25" customHeight="1">
      <c r="C964" s="39"/>
      <c r="T964" s="2"/>
    </row>
    <row r="965" ht="14.25" customHeight="1">
      <c r="C965" s="39"/>
      <c r="T965" s="2"/>
    </row>
    <row r="966" ht="14.25" customHeight="1">
      <c r="C966" s="39"/>
      <c r="T966" s="2"/>
    </row>
    <row r="967" ht="14.25" customHeight="1">
      <c r="C967" s="39"/>
      <c r="T967" s="2"/>
    </row>
    <row r="968" ht="14.25" customHeight="1">
      <c r="C968" s="39"/>
      <c r="T968" s="2"/>
    </row>
    <row r="969" ht="14.25" customHeight="1">
      <c r="C969" s="39"/>
      <c r="T969" s="2"/>
    </row>
    <row r="970" ht="14.25" customHeight="1">
      <c r="C970" s="39"/>
      <c r="T970" s="2"/>
    </row>
    <row r="971" ht="14.25" customHeight="1">
      <c r="C971" s="39"/>
      <c r="T971" s="2"/>
    </row>
    <row r="972" ht="14.25" customHeight="1">
      <c r="C972" s="39"/>
      <c r="T972" s="2"/>
    </row>
    <row r="973" ht="14.25" customHeight="1">
      <c r="C973" s="39"/>
      <c r="T973" s="2"/>
    </row>
    <row r="974" ht="14.25" customHeight="1">
      <c r="C974" s="39"/>
      <c r="T974" s="2"/>
    </row>
    <row r="975" ht="14.25" customHeight="1">
      <c r="C975" s="39"/>
      <c r="T975" s="2"/>
    </row>
    <row r="976" ht="14.25" customHeight="1">
      <c r="C976" s="39"/>
      <c r="T976" s="2"/>
    </row>
    <row r="977" ht="14.25" customHeight="1">
      <c r="C977" s="39"/>
      <c r="T977" s="2"/>
    </row>
    <row r="978" ht="14.25" customHeight="1">
      <c r="C978" s="39"/>
      <c r="T978" s="2"/>
    </row>
    <row r="979" ht="14.25" customHeight="1">
      <c r="C979" s="39"/>
      <c r="T979" s="2"/>
    </row>
    <row r="980" ht="14.25" customHeight="1">
      <c r="C980" s="39"/>
      <c r="T980" s="2"/>
    </row>
    <row r="981" ht="14.25" customHeight="1">
      <c r="C981" s="39"/>
      <c r="T981" s="2"/>
    </row>
    <row r="982" ht="14.25" customHeight="1">
      <c r="C982" s="39"/>
      <c r="T982" s="2"/>
    </row>
    <row r="983" ht="14.25" customHeight="1">
      <c r="C983" s="39"/>
      <c r="T983" s="2"/>
    </row>
    <row r="984" ht="14.25" customHeight="1">
      <c r="C984" s="39"/>
      <c r="T984" s="2"/>
    </row>
    <row r="985" ht="14.25" customHeight="1">
      <c r="C985" s="39"/>
      <c r="T985" s="2"/>
    </row>
    <row r="986" ht="14.25" customHeight="1">
      <c r="C986" s="39"/>
      <c r="T986" s="2"/>
    </row>
    <row r="987" ht="14.25" customHeight="1">
      <c r="C987" s="39"/>
      <c r="T987" s="2"/>
    </row>
    <row r="988" ht="14.25" customHeight="1">
      <c r="C988" s="39"/>
      <c r="T988" s="2"/>
    </row>
    <row r="989" ht="14.25" customHeight="1">
      <c r="C989" s="39"/>
      <c r="T989" s="2"/>
    </row>
    <row r="990" ht="14.25" customHeight="1">
      <c r="C990" s="39"/>
      <c r="T990" s="2"/>
    </row>
    <row r="991" ht="14.25" customHeight="1">
      <c r="C991" s="39"/>
      <c r="T991" s="2"/>
    </row>
    <row r="992" ht="14.25" customHeight="1">
      <c r="C992" s="39"/>
      <c r="T992" s="2"/>
    </row>
    <row r="993" ht="14.25" customHeight="1">
      <c r="C993" s="39"/>
      <c r="T993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5" width="15.25"/>
  </cols>
  <sheetData>
    <row r="1" ht="102.0" customHeight="1">
      <c r="A1" s="2" t="str">
        <f t="array" ref="A1">IFERROR(INDEX(DKV!$T:$T, (ROUNDUP(ROW()/2,0)-1)*5 + COLUMN() + 1), "")</f>
        <v/>
      </c>
      <c r="B1" s="2" t="str">
        <f t="array" ref="B1">IFERROR(INDEX(DKV!$T:$T, (ROUNDUP(ROW()/2,0)-1)*5 + COLUMN() + 1), "")</f>
        <v/>
      </c>
      <c r="C1" s="2" t="str">
        <f t="array" ref="C1">IFERROR(INDEX(DKV!$T:$T, (ROUNDUP(ROW()/2,0)-1)*5 + COLUMN() + 1), "")</f>
        <v/>
      </c>
      <c r="D1" s="2" t="str">
        <f t="array" ref="D1">IFERROR(INDEX(DKV!$T:$T, (ROUNDUP(ROW()/2,0)-1)*5 + COLUMN() + 1), "")</f>
        <v/>
      </c>
      <c r="E1" s="2" t="str">
        <f t="array" ref="E1">IFERROR(INDEX(DKV!$T:$T, (ROUNDUP(ROW()/2,0)-1)*5 + COLUMN() + 1), "")</f>
        <v/>
      </c>
    </row>
    <row r="2">
      <c r="A2" s="2" t="str">
        <f t="array" ref="A2">IFERROR(INDEX(DKV!$B:$B, (ROW()/2-1)*5 + COLUMN() + 1), "")</f>
        <v>DKV-PC-001-26</v>
      </c>
      <c r="B2" s="2" t="str">
        <f t="array" ref="B2">IFERROR(INDEX(DKV!$B:$B, (ROW()/2-1)*5 + COLUMN() + 1), "")</f>
        <v>DKV-PC-002-26</v>
      </c>
      <c r="C2" s="2" t="str">
        <f t="array" ref="C2">IFERROR(INDEX(DKV!$B:$B, (ROW()/2-1)*5 + COLUMN() + 1), "")</f>
        <v>DKV-PC-003-26</v>
      </c>
      <c r="D2" s="2" t="str">
        <f t="array" ref="D2">IFERROR(INDEX(DKV!$B:$B, (ROW()/2-1)*5 + COLUMN() + 1), "")</f>
        <v>DKV-PC-004-26</v>
      </c>
      <c r="E2" s="2" t="str">
        <f t="array" ref="E2">IFERROR(INDEX(DKV!$B:$B, (ROW()/2-1)*5 + COLUMN() + 1), "")</f>
        <v>DKV-PC-005-26</v>
      </c>
    </row>
    <row r="3" ht="102.0" customHeight="1">
      <c r="A3" s="2" t="str">
        <f t="array" ref="A3">IFERROR(INDEX(DKV!$T:$T, (ROUNDUP(ROW()/2,0)-1)*5 + COLUMN() + 1), "")</f>
        <v/>
      </c>
      <c r="B3" s="2" t="str">
        <f t="array" ref="B3">IFERROR(INDEX(DKV!$T:$T, (ROUNDUP(ROW()/2,0)-1)*5 + COLUMN() + 1), "")</f>
        <v/>
      </c>
      <c r="C3" s="2" t="str">
        <f t="array" ref="C3">IFERROR(INDEX(DKV!$T:$T, (ROUNDUP(ROW()/2,0)-1)*5 + COLUMN() + 1), "")</f>
        <v/>
      </c>
      <c r="D3" s="2" t="str">
        <f t="array" ref="D3">IFERROR(INDEX(DKV!$T:$T, (ROUNDUP(ROW()/2,0)-1)*5 + COLUMN() + 1), "")</f>
        <v/>
      </c>
      <c r="E3" s="2" t="str">
        <f t="array" ref="E3">IFERROR(INDEX(DKV!$T:$T, (ROUNDUP(ROW()/2,0)-1)*5 + COLUMN() + 1), "")</f>
        <v/>
      </c>
    </row>
    <row r="4">
      <c r="A4" s="2" t="str">
        <f t="array" ref="A4">IFERROR(INDEX(DKV!$B:$B, (ROW()/2-1)*5 + COLUMN() + 1), "")</f>
        <v>DKV-PC-006-26</v>
      </c>
      <c r="B4" s="2" t="str">
        <f t="array" ref="B4">IFERROR(INDEX(DKV!$B:$B, (ROW()/2-1)*5 + COLUMN() + 1), "")</f>
        <v>DKV-PC-007-26</v>
      </c>
      <c r="C4" s="2" t="str">
        <f t="array" ref="C4">IFERROR(INDEX(DKV!$B:$B, (ROW()/2-1)*5 + COLUMN() + 1), "")</f>
        <v>DKV-PC-008-26</v>
      </c>
      <c r="D4" s="2" t="str">
        <f t="array" ref="D4">IFERROR(INDEX(DKV!$B:$B, (ROW()/2-1)*5 + COLUMN() + 1), "")</f>
        <v>DKV-PC-009-26</v>
      </c>
      <c r="E4" s="2" t="str">
        <f t="array" ref="E4">IFERROR(INDEX(DKV!$B:$B, (ROW()/2-1)*5 + COLUMN() + 1), "")</f>
        <v>DKV-PC-0010-26</v>
      </c>
    </row>
    <row r="5" ht="102.0" customHeight="1">
      <c r="A5" s="2" t="str">
        <f t="array" ref="A5">IFERROR(INDEX(DKV!$T:$T, (ROUNDUP(ROW()/2,0)-1)*5 + COLUMN() + 1), "")</f>
        <v/>
      </c>
      <c r="B5" s="2" t="str">
        <f t="array" ref="B5">IFERROR(INDEX(DKV!$T:$T, (ROUNDUP(ROW()/2,0)-1)*5 + COLUMN() + 1), "")</f>
        <v/>
      </c>
      <c r="C5" s="2" t="str">
        <f t="array" ref="C5">IFERROR(INDEX(DKV!$T:$T, (ROUNDUP(ROW()/2,0)-1)*5 + COLUMN() + 1), "")</f>
        <v/>
      </c>
      <c r="D5" s="2" t="str">
        <f t="array" ref="D5">IFERROR(INDEX(DKV!$T:$T, (ROUNDUP(ROW()/2,0)-1)*5 + COLUMN() + 1), "")</f>
        <v/>
      </c>
      <c r="E5" s="2" t="str">
        <f t="array" ref="E5">IFERROR(INDEX(DKV!$T:$T, (ROUNDUP(ROW()/2,0)-1)*5 + COLUMN() + 1), "")</f>
        <v/>
      </c>
    </row>
    <row r="6">
      <c r="A6" s="2" t="str">
        <f t="array" ref="A6">IFERROR(INDEX(DKV!$B:$B, (ROW()/2-1)*5 + COLUMN() + 1), "")</f>
        <v>DKV-PC-0011-26</v>
      </c>
      <c r="B6" s="2" t="str">
        <f t="array" ref="B6">IFERROR(INDEX(DKV!$B:$B, (ROW()/2-1)*5 + COLUMN() + 1), "")</f>
        <v>DKV-PC-0012-26</v>
      </c>
      <c r="C6" s="2" t="str">
        <f t="array" ref="C6">IFERROR(INDEX(DKV!$B:$B, (ROW()/2-1)*5 + COLUMN() + 1), "")</f>
        <v>DKV-PC-0013-26</v>
      </c>
      <c r="D6" s="2" t="str">
        <f t="array" ref="D6">IFERROR(INDEX(DKV!$B:$B, (ROW()/2-1)*5 + COLUMN() + 1), "")</f>
        <v>DKV-PC-0014-26</v>
      </c>
      <c r="E6" s="2" t="str">
        <f t="array" ref="E6">IFERROR(INDEX(DKV!$B:$B, (ROW()/2-1)*5 + COLUMN() + 1), "")</f>
        <v>DKV-PC-0015-26</v>
      </c>
    </row>
    <row r="7" ht="102.0" customHeight="1">
      <c r="A7" s="2" t="str">
        <f t="array" ref="A7">IFERROR(INDEX(DKV!$T:$T, (ROUNDUP(ROW()/2,0)-1)*5 + COLUMN() + 1), "")</f>
        <v/>
      </c>
      <c r="B7" s="2" t="str">
        <f t="array" ref="B7">IFERROR(INDEX(DKV!$T:$T, (ROUNDUP(ROW()/2,0)-1)*5 + COLUMN() + 1), "")</f>
        <v/>
      </c>
      <c r="C7" s="2" t="str">
        <f t="array" ref="C7">IFERROR(INDEX(DKV!$T:$T, (ROUNDUP(ROW()/2,0)-1)*5 + COLUMN() + 1), "")</f>
        <v/>
      </c>
      <c r="D7" s="2" t="str">
        <f t="array" ref="D7">IFERROR(INDEX(DKV!$T:$T, (ROUNDUP(ROW()/2,0)-1)*5 + COLUMN() + 1), "")</f>
        <v/>
      </c>
      <c r="E7" s="2" t="str">
        <f t="array" ref="E7">IFERROR(INDEX(DKV!$T:$T, (ROUNDUP(ROW()/2,0)-1)*5 + COLUMN() + 1), "")</f>
        <v/>
      </c>
    </row>
    <row r="8">
      <c r="A8" s="2" t="str">
        <f t="array" ref="A8">IFERROR(INDEX(DKV!$B:$B, (ROW()/2-1)*5 + COLUMN() + 1), "")</f>
        <v>DKV-PC-0016-26</v>
      </c>
      <c r="B8" s="2" t="str">
        <f t="array" ref="B8">IFERROR(INDEX(DKV!$B:$B, (ROW()/2-1)*5 + COLUMN() + 1), "")</f>
        <v>DKV-PC-0017-26</v>
      </c>
      <c r="C8" s="2" t="str">
        <f t="array" ref="C8">IFERROR(INDEX(DKV!$B:$B, (ROW()/2-1)*5 + COLUMN() + 1), "")</f>
        <v>DKV-PC-0018-26</v>
      </c>
      <c r="D8" s="2" t="str">
        <f t="array" ref="D8">IFERROR(INDEX(DKV!$B:$B, (ROW()/2-1)*5 + COLUMN() + 1), "")</f>
        <v>DKV-PC-0019-26</v>
      </c>
      <c r="E8" s="2" t="str">
        <f t="array" ref="E8">IFERROR(INDEX(DKV!$B:$B, (ROW()/2-1)*5 + COLUMN() + 1), "")</f>
        <v>DKV-PC-0020-26</v>
      </c>
    </row>
    <row r="9" ht="102.0" customHeight="1">
      <c r="A9" s="2" t="str">
        <f t="array" ref="A9">IFERROR(INDEX(DKV!$T:$T, (ROUNDUP(ROW()/2,0)-1)*5 + COLUMN() + 1), "")</f>
        <v/>
      </c>
      <c r="B9" s="2" t="str">
        <f t="array" ref="B9">IFERROR(INDEX(DKV!$T:$T, (ROUNDUP(ROW()/2,0)-1)*5 + COLUMN() + 1), "")</f>
        <v/>
      </c>
      <c r="C9" s="2" t="str">
        <f t="array" ref="C9">IFERROR(INDEX(DKV!$T:$T, (ROUNDUP(ROW()/2,0)-1)*5 + COLUMN() + 1), "")</f>
        <v/>
      </c>
      <c r="D9" s="2" t="str">
        <f t="array" ref="D9">IFERROR(INDEX(DKV!$T:$T, (ROUNDUP(ROW()/2,0)-1)*5 + COLUMN() + 1), "")</f>
        <v/>
      </c>
      <c r="E9" s="2" t="str">
        <f t="array" ref="E9">IFERROR(INDEX(DKV!$T:$T, (ROUNDUP(ROW()/2,0)-1)*5 + COLUMN() + 1), "")</f>
        <v/>
      </c>
    </row>
    <row r="10">
      <c r="A10" s="2" t="str">
        <f t="array" ref="A10">IFERROR(INDEX(DKV!$B:$B, (ROW()/2-1)*5 + COLUMN() + 1), "")</f>
        <v>DKV-PC-0021-26</v>
      </c>
      <c r="B10" s="2" t="str">
        <f t="array" ref="B10">IFERROR(INDEX(DKV!$B:$B, (ROW()/2-1)*5 + COLUMN() + 1), "")</f>
        <v>DKV-PC-0022-26</v>
      </c>
      <c r="C10" s="2" t="str">
        <f t="array" ref="C10">IFERROR(INDEX(DKV!$B:$B, (ROW()/2-1)*5 + COLUMN() + 1), "")</f>
        <v>DKV-PC-0023-26</v>
      </c>
      <c r="D10" s="2" t="str">
        <f t="array" ref="D10">IFERROR(INDEX(DKV!$B:$B, (ROW()/2-1)*5 + COLUMN() + 1), "")</f>
        <v>DKV-PC-0024-26</v>
      </c>
      <c r="E10" s="2" t="str">
        <f t="array" ref="E10">IFERROR(INDEX(DKV!$B:$B, (ROW()/2-1)*5 + COLUMN() + 1), "")</f>
        <v>DKV-PC-0025-26</v>
      </c>
    </row>
    <row r="11" ht="102.0" customHeight="1">
      <c r="A11" s="2" t="str">
        <f t="array" ref="A11">IFERROR(INDEX(DKV!$T:$T, (ROUNDUP(ROW()/2,0)-1)*5 + COLUMN() + 1), "")</f>
        <v/>
      </c>
      <c r="B11" s="2" t="str">
        <f t="array" ref="B11">IFERROR(INDEX(DKV!$T:$T, (ROUNDUP(ROW()/2,0)-1)*5 + COLUMN() + 1), "")</f>
        <v/>
      </c>
      <c r="C11" s="2" t="str">
        <f t="array" ref="C11">IFERROR(INDEX(DKV!$T:$T, (ROUNDUP(ROW()/2,0)-1)*5 + COLUMN() + 1), "")</f>
        <v/>
      </c>
      <c r="D11" s="2"/>
      <c r="E11" s="2"/>
    </row>
    <row r="12">
      <c r="A12" s="2" t="str">
        <f t="array" ref="A12">IFERROR(INDEX(DKV!$B:$B, (ROW()/2-1)*5 + COLUMN() + 1), "")</f>
        <v>DKV-PC-0026-26</v>
      </c>
      <c r="B12" s="2" t="str">
        <f t="array" ref="B12">IFERROR(INDEX(DKV!$B:$B, (ROW()/2-1)*5 + COLUMN() + 1), "")</f>
        <v>DKV-PC-0027-26</v>
      </c>
      <c r="C12" s="2" t="str">
        <f t="array" ref="C12">IFERROR(INDEX(DKV!$B:$B, (ROW()/2-1)*5 + COLUMN() + 1), "")</f>
        <v>DKV-PC-0028-26</v>
      </c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</sheetData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6.88"/>
    <col customWidth="1" min="3" max="4" width="20.38"/>
    <col customWidth="1" min="5" max="5" width="11.88"/>
    <col customWidth="1" min="6" max="6" width="14.38"/>
    <col customWidth="1" min="7" max="7" width="14.13"/>
    <col customWidth="1" min="8" max="8" width="15.63"/>
    <col customWidth="1" min="9" max="9" width="13.63"/>
    <col customWidth="1" min="10" max="10" width="14.88"/>
    <col customWidth="1" min="11" max="11" width="19.5"/>
    <col customWidth="1" min="12" max="12" width="23.0"/>
    <col customWidth="1" min="13" max="13" width="33.88"/>
    <col customWidth="1" min="14" max="15" width="24.0"/>
    <col customWidth="1" min="16" max="19" width="28.38"/>
    <col customWidth="1" min="20" max="20" width="24.25"/>
    <col customWidth="1" min="21" max="28" width="8.63"/>
  </cols>
  <sheetData>
    <row r="1" ht="36.7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ht="106.5" customHeight="1">
      <c r="A2" s="8" t="s">
        <v>20</v>
      </c>
      <c r="B2" s="8" t="str">
        <f t="shared" ref="B2:B29" si="1">CONCATENATE("AKL-PC-00",RIGHT(A2,LEN(A2) - (FIND(" ",A2))),"-26")</f>
        <v>AKL-PC-001-26</v>
      </c>
      <c r="C2" s="8" t="s">
        <v>21</v>
      </c>
      <c r="D2" s="8" t="s">
        <v>21</v>
      </c>
      <c r="E2" s="8" t="s">
        <v>21</v>
      </c>
      <c r="F2" s="8" t="s">
        <v>21</v>
      </c>
      <c r="G2" s="8" t="s">
        <v>21</v>
      </c>
      <c r="H2" s="8" t="s">
        <v>28</v>
      </c>
      <c r="I2" s="8" t="s">
        <v>28</v>
      </c>
      <c r="J2" s="8" t="s">
        <v>85</v>
      </c>
      <c r="K2" s="8" t="s">
        <v>21</v>
      </c>
      <c r="L2" s="8" t="s">
        <v>59</v>
      </c>
      <c r="M2" s="8" t="s">
        <v>21</v>
      </c>
      <c r="N2" s="16"/>
      <c r="O2" s="16"/>
      <c r="P2" s="16"/>
      <c r="Q2" s="16"/>
      <c r="R2" s="16"/>
      <c r="S2" s="16"/>
      <c r="T2" s="17" t="str">
        <f t="shared" ref="T2:T29" si="2">IMAGE("https://quickchart.io/qr?text="&amp;ENCODEURL("https://script.google.com/macros/s/AKfycbwQpzkxOCRP3NYqoeT2iICUn44Z1fFWd3SGrCOmIeLE-uz8Fxp4eBwg-OJKyc6xQgcnDA/exec?id="&amp;B2))</f>
        <v/>
      </c>
    </row>
    <row r="3" ht="106.5" customHeight="1">
      <c r="A3" s="13" t="s">
        <v>40</v>
      </c>
      <c r="B3" s="13" t="str">
        <f t="shared" si="1"/>
        <v>AKL-PC-002-26</v>
      </c>
      <c r="C3" s="13" t="s">
        <v>226</v>
      </c>
      <c r="D3" s="13" t="s">
        <v>130</v>
      </c>
      <c r="E3" s="13" t="s">
        <v>48</v>
      </c>
      <c r="F3" s="13" t="s">
        <v>29</v>
      </c>
      <c r="G3" s="19" t="s">
        <v>26</v>
      </c>
      <c r="H3" s="19" t="s">
        <v>28</v>
      </c>
      <c r="I3" s="19" t="s">
        <v>28</v>
      </c>
      <c r="J3" s="19" t="s">
        <v>227</v>
      </c>
      <c r="K3" s="13" t="s">
        <v>201</v>
      </c>
      <c r="L3" s="13" t="s">
        <v>36</v>
      </c>
      <c r="M3" s="13" t="s">
        <v>228</v>
      </c>
      <c r="N3" s="16"/>
      <c r="O3" s="16"/>
      <c r="P3" s="16"/>
      <c r="Q3" s="16"/>
      <c r="R3" s="16"/>
      <c r="S3" s="16"/>
      <c r="T3" s="17" t="str">
        <f t="shared" si="2"/>
        <v/>
      </c>
    </row>
    <row r="4" ht="106.5" customHeight="1">
      <c r="A4" s="13" t="s">
        <v>45</v>
      </c>
      <c r="B4" s="13" t="str">
        <f t="shared" si="1"/>
        <v>AKL-PC-003-26</v>
      </c>
      <c r="C4" s="13" t="s">
        <v>232</v>
      </c>
      <c r="D4" s="13" t="s">
        <v>233</v>
      </c>
      <c r="E4" s="13" t="s">
        <v>23</v>
      </c>
      <c r="F4" s="13" t="s">
        <v>25</v>
      </c>
      <c r="G4" s="19" t="s">
        <v>26</v>
      </c>
      <c r="H4" s="19" t="s">
        <v>28</v>
      </c>
      <c r="I4" s="19" t="s">
        <v>28</v>
      </c>
      <c r="J4" s="19" t="s">
        <v>227</v>
      </c>
      <c r="K4" s="19" t="s">
        <v>31</v>
      </c>
      <c r="L4" s="13" t="s">
        <v>36</v>
      </c>
      <c r="M4" s="13" t="s">
        <v>236</v>
      </c>
      <c r="N4" s="16"/>
      <c r="O4" s="16"/>
      <c r="P4" s="16"/>
      <c r="Q4" s="16"/>
      <c r="R4" s="16"/>
      <c r="S4" s="16"/>
      <c r="T4" s="17" t="str">
        <f t="shared" si="2"/>
        <v/>
      </c>
    </row>
    <row r="5" ht="106.5" customHeight="1">
      <c r="A5" s="13" t="s">
        <v>54</v>
      </c>
      <c r="B5" s="13" t="str">
        <f t="shared" si="1"/>
        <v>AKL-PC-004-26</v>
      </c>
      <c r="C5" s="13" t="s">
        <v>241</v>
      </c>
      <c r="D5" s="13" t="s">
        <v>207</v>
      </c>
      <c r="E5" s="13" t="s">
        <v>48</v>
      </c>
      <c r="F5" s="13" t="s">
        <v>29</v>
      </c>
      <c r="G5" s="19" t="s">
        <v>26</v>
      </c>
      <c r="H5" s="19" t="s">
        <v>28</v>
      </c>
      <c r="I5" s="19" t="s">
        <v>28</v>
      </c>
      <c r="J5" s="19" t="s">
        <v>227</v>
      </c>
      <c r="K5" s="19" t="s">
        <v>31</v>
      </c>
      <c r="L5" s="13" t="s">
        <v>36</v>
      </c>
      <c r="M5" s="13" t="s">
        <v>243</v>
      </c>
      <c r="N5" s="16"/>
      <c r="O5" s="16"/>
      <c r="P5" s="16"/>
      <c r="Q5" s="16"/>
      <c r="R5" s="16"/>
      <c r="S5" s="16"/>
      <c r="T5" s="17" t="str">
        <f t="shared" si="2"/>
        <v/>
      </c>
    </row>
    <row r="6" ht="106.5" customHeight="1">
      <c r="A6" s="33" t="s">
        <v>60</v>
      </c>
      <c r="B6" s="33" t="str">
        <f t="shared" si="1"/>
        <v>AKL-PC-005-26</v>
      </c>
      <c r="C6" s="33" t="s">
        <v>21</v>
      </c>
      <c r="D6" s="33" t="s">
        <v>21</v>
      </c>
      <c r="E6" s="33" t="s">
        <v>21</v>
      </c>
      <c r="F6" s="33" t="s">
        <v>21</v>
      </c>
      <c r="G6" s="33" t="s">
        <v>21</v>
      </c>
      <c r="H6" s="38" t="s">
        <v>28</v>
      </c>
      <c r="I6" s="38" t="s">
        <v>28</v>
      </c>
      <c r="J6" s="38" t="s">
        <v>227</v>
      </c>
      <c r="K6" s="38" t="s">
        <v>31</v>
      </c>
      <c r="L6" s="33" t="s">
        <v>59</v>
      </c>
      <c r="M6" s="33" t="s">
        <v>21</v>
      </c>
      <c r="N6" s="16"/>
      <c r="O6" s="16"/>
      <c r="P6" s="16"/>
      <c r="Q6" s="16"/>
      <c r="R6" s="16"/>
      <c r="S6" s="16"/>
      <c r="T6" s="17" t="str">
        <f t="shared" si="2"/>
        <v/>
      </c>
    </row>
    <row r="7" ht="106.5" customHeight="1">
      <c r="A7" s="13" t="s">
        <v>68</v>
      </c>
      <c r="B7" s="13" t="str">
        <f t="shared" si="1"/>
        <v>AKL-PC-006-26</v>
      </c>
      <c r="C7" s="19" t="s">
        <v>246</v>
      </c>
      <c r="D7" s="19" t="s">
        <v>105</v>
      </c>
      <c r="E7" s="19" t="s">
        <v>247</v>
      </c>
      <c r="F7" s="19" t="s">
        <v>248</v>
      </c>
      <c r="G7" s="19" t="s">
        <v>26</v>
      </c>
      <c r="H7" s="19" t="s">
        <v>28</v>
      </c>
      <c r="I7" s="19" t="s">
        <v>28</v>
      </c>
      <c r="J7" s="19" t="s">
        <v>227</v>
      </c>
      <c r="K7" s="19" t="s">
        <v>31</v>
      </c>
      <c r="L7" s="19" t="s">
        <v>36</v>
      </c>
      <c r="M7" s="19" t="s">
        <v>249</v>
      </c>
      <c r="N7" s="16"/>
      <c r="O7" s="16"/>
      <c r="P7" s="16"/>
      <c r="Q7" s="16"/>
      <c r="R7" s="16"/>
      <c r="S7" s="16"/>
      <c r="T7" s="17" t="str">
        <f t="shared" si="2"/>
        <v/>
      </c>
    </row>
    <row r="8" ht="106.5" customHeight="1">
      <c r="A8" s="13" t="s">
        <v>73</v>
      </c>
      <c r="B8" s="13" t="str">
        <f t="shared" si="1"/>
        <v>AKL-PC-007-26</v>
      </c>
      <c r="C8" s="19" t="s">
        <v>252</v>
      </c>
      <c r="D8" s="19" t="s">
        <v>64</v>
      </c>
      <c r="E8" s="19" t="s">
        <v>247</v>
      </c>
      <c r="F8" s="19" t="s">
        <v>253</v>
      </c>
      <c r="G8" s="19" t="s">
        <v>26</v>
      </c>
      <c r="H8" s="19" t="s">
        <v>28</v>
      </c>
      <c r="I8" s="19" t="s">
        <v>28</v>
      </c>
      <c r="J8" s="19" t="s">
        <v>227</v>
      </c>
      <c r="K8" s="19" t="s">
        <v>31</v>
      </c>
      <c r="L8" s="19" t="s">
        <v>36</v>
      </c>
      <c r="M8" s="19" t="s">
        <v>249</v>
      </c>
      <c r="N8" s="16"/>
      <c r="O8" s="16"/>
      <c r="P8" s="16"/>
      <c r="Q8" s="16"/>
      <c r="R8" s="16"/>
      <c r="S8" s="16"/>
      <c r="T8" s="17" t="str">
        <f t="shared" si="2"/>
        <v/>
      </c>
    </row>
    <row r="9" ht="106.5" customHeight="1">
      <c r="A9" s="13" t="s">
        <v>78</v>
      </c>
      <c r="B9" s="13" t="str">
        <f t="shared" si="1"/>
        <v>AKL-PC-008-26</v>
      </c>
      <c r="C9" s="19" t="s">
        <v>255</v>
      </c>
      <c r="D9" s="19" t="s">
        <v>64</v>
      </c>
      <c r="E9" s="19" t="s">
        <v>247</v>
      </c>
      <c r="F9" s="19" t="s">
        <v>156</v>
      </c>
      <c r="G9" s="19" t="s">
        <v>26</v>
      </c>
      <c r="H9" s="19" t="s">
        <v>28</v>
      </c>
      <c r="I9" s="19" t="s">
        <v>28</v>
      </c>
      <c r="J9" s="19" t="s">
        <v>227</v>
      </c>
      <c r="K9" s="19" t="s">
        <v>31</v>
      </c>
      <c r="L9" s="19" t="s">
        <v>36</v>
      </c>
      <c r="M9" s="19" t="s">
        <v>249</v>
      </c>
      <c r="N9" s="16"/>
      <c r="O9" s="16"/>
      <c r="P9" s="16"/>
      <c r="Q9" s="16"/>
      <c r="R9" s="16"/>
      <c r="S9" s="16"/>
      <c r="T9" s="17" t="str">
        <f t="shared" si="2"/>
        <v/>
      </c>
    </row>
    <row r="10" ht="106.5" customHeight="1">
      <c r="A10" s="8" t="s">
        <v>82</v>
      </c>
      <c r="B10" s="8" t="str">
        <f t="shared" si="1"/>
        <v>AKL-PC-009-26</v>
      </c>
      <c r="C10" s="8" t="s">
        <v>21</v>
      </c>
      <c r="D10" s="12" t="s">
        <v>257</v>
      </c>
      <c r="E10" s="12" t="s">
        <v>48</v>
      </c>
      <c r="F10" s="8" t="s">
        <v>29</v>
      </c>
      <c r="G10" s="12" t="s">
        <v>26</v>
      </c>
      <c r="H10" s="12" t="s">
        <v>28</v>
      </c>
      <c r="I10" s="12" t="s">
        <v>28</v>
      </c>
      <c r="J10" s="12" t="s">
        <v>227</v>
      </c>
      <c r="K10" s="12" t="s">
        <v>31</v>
      </c>
      <c r="L10" s="8" t="s">
        <v>258</v>
      </c>
      <c r="M10" s="8" t="s">
        <v>37</v>
      </c>
      <c r="N10" s="16"/>
      <c r="O10" s="16"/>
      <c r="P10" s="16"/>
      <c r="Q10" s="16"/>
      <c r="R10" s="16"/>
      <c r="S10" s="16"/>
      <c r="T10" s="17" t="str">
        <f t="shared" si="2"/>
        <v/>
      </c>
    </row>
    <row r="11" ht="106.5" customHeight="1">
      <c r="A11" s="33" t="s">
        <v>89</v>
      </c>
      <c r="B11" s="33" t="str">
        <f t="shared" si="1"/>
        <v>AKL-PC-0010-26</v>
      </c>
      <c r="C11" s="33" t="s">
        <v>21</v>
      </c>
      <c r="D11" s="33" t="s">
        <v>21</v>
      </c>
      <c r="E11" s="33" t="s">
        <v>21</v>
      </c>
      <c r="F11" s="33" t="s">
        <v>21</v>
      </c>
      <c r="G11" s="33" t="s">
        <v>21</v>
      </c>
      <c r="H11" s="38" t="s">
        <v>28</v>
      </c>
      <c r="I11" s="38" t="s">
        <v>28</v>
      </c>
      <c r="J11" s="38" t="s">
        <v>227</v>
      </c>
      <c r="K11" s="33" t="s">
        <v>21</v>
      </c>
      <c r="L11" s="33" t="s">
        <v>59</v>
      </c>
      <c r="M11" s="33" t="s">
        <v>21</v>
      </c>
      <c r="N11" s="16"/>
      <c r="O11" s="16"/>
      <c r="P11" s="16"/>
      <c r="Q11" s="16"/>
      <c r="R11" s="16"/>
      <c r="S11" s="16"/>
      <c r="T11" s="17" t="str">
        <f t="shared" si="2"/>
        <v/>
      </c>
    </row>
    <row r="12" ht="106.5" customHeight="1">
      <c r="A12" s="33" t="s">
        <v>91</v>
      </c>
      <c r="B12" s="33" t="str">
        <f t="shared" si="1"/>
        <v>AKL-PC-0011-26</v>
      </c>
      <c r="C12" s="33" t="s">
        <v>21</v>
      </c>
      <c r="D12" s="33" t="s">
        <v>21</v>
      </c>
      <c r="E12" s="33" t="s">
        <v>21</v>
      </c>
      <c r="F12" s="33" t="s">
        <v>21</v>
      </c>
      <c r="G12" s="33" t="s">
        <v>21</v>
      </c>
      <c r="H12" s="38" t="s">
        <v>28</v>
      </c>
      <c r="I12" s="38" t="s">
        <v>28</v>
      </c>
      <c r="J12" s="38" t="s">
        <v>264</v>
      </c>
      <c r="K12" s="33" t="s">
        <v>21</v>
      </c>
      <c r="L12" s="33" t="s">
        <v>59</v>
      </c>
      <c r="M12" s="33" t="s">
        <v>21</v>
      </c>
      <c r="N12" s="16"/>
      <c r="O12" s="16"/>
      <c r="P12" s="16"/>
      <c r="Q12" s="16"/>
      <c r="R12" s="16"/>
      <c r="S12" s="16"/>
      <c r="T12" s="17" t="str">
        <f t="shared" si="2"/>
        <v/>
      </c>
    </row>
    <row r="13" ht="106.5" customHeight="1">
      <c r="A13" s="13" t="s">
        <v>93</v>
      </c>
      <c r="B13" s="13" t="str">
        <f t="shared" si="1"/>
        <v>AKL-PC-0012-26</v>
      </c>
      <c r="C13" s="13" t="s">
        <v>266</v>
      </c>
      <c r="D13" s="13" t="s">
        <v>267</v>
      </c>
      <c r="E13" s="13" t="s">
        <v>23</v>
      </c>
      <c r="F13" s="13" t="s">
        <v>29</v>
      </c>
      <c r="G13" s="19" t="s">
        <v>26</v>
      </c>
      <c r="H13" s="19" t="s">
        <v>28</v>
      </c>
      <c r="I13" s="19" t="s">
        <v>28</v>
      </c>
      <c r="J13" s="19" t="s">
        <v>268</v>
      </c>
      <c r="K13" s="19" t="s">
        <v>31</v>
      </c>
      <c r="L13" s="19" t="s">
        <v>36</v>
      </c>
      <c r="M13" s="13" t="s">
        <v>37</v>
      </c>
      <c r="N13" s="16"/>
      <c r="O13" s="16"/>
      <c r="P13" s="16"/>
      <c r="Q13" s="16"/>
      <c r="R13" s="16"/>
      <c r="S13" s="16"/>
      <c r="T13" s="17" t="str">
        <f t="shared" si="2"/>
        <v/>
      </c>
    </row>
    <row r="14" ht="106.5" customHeight="1">
      <c r="A14" s="13" t="s">
        <v>99</v>
      </c>
      <c r="B14" s="13" t="str">
        <f t="shared" si="1"/>
        <v>AKL-PC-0013-26</v>
      </c>
      <c r="C14" s="13" t="s">
        <v>272</v>
      </c>
      <c r="D14" s="13" t="s">
        <v>130</v>
      </c>
      <c r="E14" s="13" t="s">
        <v>48</v>
      </c>
      <c r="F14" s="13" t="s">
        <v>25</v>
      </c>
      <c r="G14" s="19" t="s">
        <v>26</v>
      </c>
      <c r="H14" s="19" t="s">
        <v>28</v>
      </c>
      <c r="I14" s="19" t="s">
        <v>28</v>
      </c>
      <c r="J14" s="19" t="s">
        <v>163</v>
      </c>
      <c r="K14" s="13" t="s">
        <v>201</v>
      </c>
      <c r="L14" s="13" t="s">
        <v>36</v>
      </c>
      <c r="M14" s="13" t="s">
        <v>228</v>
      </c>
      <c r="N14" s="16"/>
      <c r="O14" s="16"/>
      <c r="P14" s="16"/>
      <c r="Q14" s="16"/>
      <c r="R14" s="16"/>
      <c r="S14" s="16"/>
      <c r="T14" s="17" t="str">
        <f t="shared" si="2"/>
        <v/>
      </c>
    </row>
    <row r="15" ht="106.5" customHeight="1">
      <c r="A15" s="13" t="s">
        <v>102</v>
      </c>
      <c r="B15" s="13" t="str">
        <f t="shared" si="1"/>
        <v>AKL-PC-0014-26</v>
      </c>
      <c r="C15" s="13" t="s">
        <v>273</v>
      </c>
      <c r="D15" s="13" t="s">
        <v>274</v>
      </c>
      <c r="E15" s="13" t="s">
        <v>23</v>
      </c>
      <c r="F15" s="13" t="s">
        <v>25</v>
      </c>
      <c r="G15" s="19" t="s">
        <v>26</v>
      </c>
      <c r="H15" s="19" t="s">
        <v>28</v>
      </c>
      <c r="I15" s="19" t="s">
        <v>28</v>
      </c>
      <c r="J15" s="19" t="s">
        <v>268</v>
      </c>
      <c r="K15" s="19" t="s">
        <v>31</v>
      </c>
      <c r="L15" s="13" t="s">
        <v>36</v>
      </c>
      <c r="M15" s="13" t="s">
        <v>275</v>
      </c>
      <c r="N15" s="16"/>
      <c r="O15" s="16"/>
      <c r="P15" s="16"/>
      <c r="Q15" s="16"/>
      <c r="R15" s="16"/>
      <c r="S15" s="16"/>
      <c r="T15" s="17" t="str">
        <f t="shared" si="2"/>
        <v/>
      </c>
    </row>
    <row r="16" ht="106.5" customHeight="1">
      <c r="A16" s="13" t="s">
        <v>106</v>
      </c>
      <c r="B16" s="13" t="str">
        <f t="shared" si="1"/>
        <v>AKL-PC-0015-26</v>
      </c>
      <c r="C16" s="19" t="s">
        <v>276</v>
      </c>
      <c r="D16" s="19" t="s">
        <v>277</v>
      </c>
      <c r="E16" s="19" t="s">
        <v>278</v>
      </c>
      <c r="F16" s="19" t="s">
        <v>279</v>
      </c>
      <c r="G16" s="19" t="s">
        <v>26</v>
      </c>
      <c r="H16" s="19" t="s">
        <v>28</v>
      </c>
      <c r="I16" s="19" t="s">
        <v>28</v>
      </c>
      <c r="J16" s="19" t="s">
        <v>163</v>
      </c>
      <c r="K16" s="19" t="s">
        <v>280</v>
      </c>
      <c r="L16" s="19" t="s">
        <v>36</v>
      </c>
      <c r="M16" s="19" t="s">
        <v>281</v>
      </c>
      <c r="N16" s="16"/>
      <c r="O16" s="16"/>
      <c r="P16" s="16"/>
      <c r="Q16" s="16"/>
      <c r="R16" s="16"/>
      <c r="S16" s="16"/>
      <c r="T16" s="17" t="str">
        <f t="shared" si="2"/>
        <v/>
      </c>
    </row>
    <row r="17" ht="106.5" customHeight="1">
      <c r="A17" s="13" t="s">
        <v>109</v>
      </c>
      <c r="B17" s="13" t="str">
        <f t="shared" si="1"/>
        <v>AKL-PC-0016-26</v>
      </c>
      <c r="C17" s="19" t="s">
        <v>282</v>
      </c>
      <c r="D17" s="19" t="s">
        <v>277</v>
      </c>
      <c r="E17" s="19" t="s">
        <v>278</v>
      </c>
      <c r="F17" s="19" t="s">
        <v>283</v>
      </c>
      <c r="G17" s="19" t="s">
        <v>26</v>
      </c>
      <c r="H17" s="19" t="s">
        <v>28</v>
      </c>
      <c r="I17" s="19" t="s">
        <v>28</v>
      </c>
      <c r="J17" s="19" t="s">
        <v>163</v>
      </c>
      <c r="K17" s="19" t="s">
        <v>284</v>
      </c>
      <c r="L17" s="19" t="s">
        <v>36</v>
      </c>
      <c r="M17" s="19" t="s">
        <v>285</v>
      </c>
      <c r="N17" s="16"/>
      <c r="O17" s="16"/>
      <c r="P17" s="16"/>
      <c r="Q17" s="16"/>
      <c r="R17" s="16"/>
      <c r="S17" s="16"/>
      <c r="T17" s="17" t="str">
        <f t="shared" si="2"/>
        <v/>
      </c>
    </row>
    <row r="18" ht="106.5" customHeight="1">
      <c r="A18" s="33" t="s">
        <v>113</v>
      </c>
      <c r="B18" s="33" t="str">
        <f t="shared" si="1"/>
        <v>AKL-PC-0017-26</v>
      </c>
      <c r="C18" s="33" t="s">
        <v>21</v>
      </c>
      <c r="D18" s="33" t="s">
        <v>21</v>
      </c>
      <c r="E18" s="33" t="s">
        <v>21</v>
      </c>
      <c r="F18" s="33" t="s">
        <v>21</v>
      </c>
      <c r="G18" s="33" t="s">
        <v>21</v>
      </c>
      <c r="H18" s="33" t="s">
        <v>28</v>
      </c>
      <c r="I18" s="33" t="s">
        <v>28</v>
      </c>
      <c r="J18" s="33" t="s">
        <v>163</v>
      </c>
      <c r="K18" s="33" t="s">
        <v>21</v>
      </c>
      <c r="L18" s="33" t="s">
        <v>59</v>
      </c>
      <c r="M18" s="33" t="s">
        <v>21</v>
      </c>
      <c r="N18" s="16"/>
      <c r="O18" s="16"/>
      <c r="P18" s="16"/>
      <c r="Q18" s="16"/>
      <c r="R18" s="16"/>
      <c r="S18" s="16"/>
      <c r="T18" s="17" t="str">
        <f t="shared" si="2"/>
        <v/>
      </c>
    </row>
    <row r="19" ht="106.5" customHeight="1">
      <c r="A19" s="13" t="s">
        <v>117</v>
      </c>
      <c r="B19" s="13" t="str">
        <f t="shared" si="1"/>
        <v>AKL-PC-0018-26</v>
      </c>
      <c r="C19" s="19" t="s">
        <v>286</v>
      </c>
      <c r="D19" s="19" t="s">
        <v>174</v>
      </c>
      <c r="E19" s="19" t="s">
        <v>247</v>
      </c>
      <c r="F19" s="19" t="s">
        <v>156</v>
      </c>
      <c r="G19" s="19" t="s">
        <v>26</v>
      </c>
      <c r="H19" s="19" t="s">
        <v>28</v>
      </c>
      <c r="I19" s="19" t="s">
        <v>28</v>
      </c>
      <c r="J19" s="19" t="s">
        <v>163</v>
      </c>
      <c r="K19" s="19" t="s">
        <v>287</v>
      </c>
      <c r="L19" s="19" t="s">
        <v>36</v>
      </c>
      <c r="M19" s="19" t="s">
        <v>288</v>
      </c>
      <c r="N19" s="16"/>
      <c r="O19" s="16"/>
      <c r="P19" s="16"/>
      <c r="Q19" s="16"/>
      <c r="R19" s="16"/>
      <c r="S19" s="16"/>
      <c r="T19" s="17" t="str">
        <f t="shared" si="2"/>
        <v/>
      </c>
    </row>
    <row r="20" ht="106.5" customHeight="1">
      <c r="A20" s="13" t="s">
        <v>124</v>
      </c>
      <c r="B20" s="13" t="str">
        <f t="shared" si="1"/>
        <v>AKL-PC-0019-26</v>
      </c>
      <c r="C20" s="19" t="s">
        <v>289</v>
      </c>
      <c r="D20" s="19" t="s">
        <v>277</v>
      </c>
      <c r="E20" s="19" t="s">
        <v>48</v>
      </c>
      <c r="F20" s="19" t="s">
        <v>182</v>
      </c>
      <c r="G20" s="19" t="s">
        <v>26</v>
      </c>
      <c r="H20" s="19" t="s">
        <v>28</v>
      </c>
      <c r="I20" s="19" t="s">
        <v>28</v>
      </c>
      <c r="J20" s="19" t="s">
        <v>163</v>
      </c>
      <c r="K20" s="19" t="s">
        <v>290</v>
      </c>
      <c r="L20" s="19" t="s">
        <v>36</v>
      </c>
      <c r="M20" s="19" t="s">
        <v>135</v>
      </c>
      <c r="N20" s="16"/>
      <c r="O20" s="16"/>
      <c r="P20" s="16"/>
      <c r="Q20" s="16"/>
      <c r="R20" s="16"/>
      <c r="S20" s="16"/>
      <c r="T20" s="17" t="str">
        <f t="shared" si="2"/>
        <v/>
      </c>
    </row>
    <row r="21" ht="106.5" customHeight="1">
      <c r="A21" s="13" t="s">
        <v>126</v>
      </c>
      <c r="B21" s="13" t="str">
        <f t="shared" si="1"/>
        <v>AKL-PC-0020-26</v>
      </c>
      <c r="C21" s="19" t="s">
        <v>291</v>
      </c>
      <c r="D21" s="19" t="s">
        <v>277</v>
      </c>
      <c r="E21" s="19" t="s">
        <v>48</v>
      </c>
      <c r="F21" s="19" t="s">
        <v>156</v>
      </c>
      <c r="G21" s="19" t="s">
        <v>26</v>
      </c>
      <c r="H21" s="19" t="s">
        <v>28</v>
      </c>
      <c r="I21" s="19" t="s">
        <v>28</v>
      </c>
      <c r="J21" s="19" t="s">
        <v>268</v>
      </c>
      <c r="K21" s="19" t="s">
        <v>280</v>
      </c>
      <c r="L21" s="19" t="s">
        <v>36</v>
      </c>
      <c r="M21" s="19" t="s">
        <v>135</v>
      </c>
      <c r="N21" s="16"/>
      <c r="O21" s="16"/>
      <c r="P21" s="16"/>
      <c r="Q21" s="16"/>
      <c r="R21" s="16"/>
      <c r="S21" s="16"/>
      <c r="T21" s="17" t="str">
        <f t="shared" si="2"/>
        <v/>
      </c>
    </row>
    <row r="22" ht="106.5" customHeight="1">
      <c r="A22" s="13" t="s">
        <v>129</v>
      </c>
      <c r="B22" s="13" t="str">
        <f t="shared" si="1"/>
        <v>AKL-PC-0021-26</v>
      </c>
      <c r="C22" s="19" t="s">
        <v>292</v>
      </c>
      <c r="D22" s="19" t="s">
        <v>277</v>
      </c>
      <c r="E22" s="19" t="s">
        <v>48</v>
      </c>
      <c r="F22" s="19" t="s">
        <v>156</v>
      </c>
      <c r="G22" s="19" t="s">
        <v>26</v>
      </c>
      <c r="H22" s="19" t="s">
        <v>28</v>
      </c>
      <c r="I22" s="19" t="s">
        <v>28</v>
      </c>
      <c r="J22" s="19" t="s">
        <v>227</v>
      </c>
      <c r="K22" s="19" t="s">
        <v>293</v>
      </c>
      <c r="L22" s="19" t="s">
        <v>36</v>
      </c>
      <c r="M22" s="19"/>
      <c r="N22" s="16"/>
      <c r="O22" s="16"/>
      <c r="P22" s="16"/>
      <c r="Q22" s="16"/>
      <c r="R22" s="16"/>
      <c r="S22" s="16"/>
      <c r="T22" s="17" t="str">
        <f t="shared" si="2"/>
        <v/>
      </c>
    </row>
    <row r="23" ht="106.5" customHeight="1">
      <c r="A23" s="13" t="s">
        <v>136</v>
      </c>
      <c r="B23" s="13" t="str">
        <f t="shared" si="1"/>
        <v>AKL-PC-0022-26</v>
      </c>
      <c r="C23" s="13" t="s">
        <v>294</v>
      </c>
      <c r="D23" s="13" t="s">
        <v>207</v>
      </c>
      <c r="E23" s="13" t="s">
        <v>158</v>
      </c>
      <c r="F23" s="13" t="s">
        <v>29</v>
      </c>
      <c r="G23" s="19" t="s">
        <v>26</v>
      </c>
      <c r="H23" s="19" t="s">
        <v>28</v>
      </c>
      <c r="I23" s="19" t="s">
        <v>28</v>
      </c>
      <c r="J23" s="19" t="s">
        <v>85</v>
      </c>
      <c r="K23" s="19" t="s">
        <v>31</v>
      </c>
      <c r="L23" s="19" t="s">
        <v>36</v>
      </c>
      <c r="M23" s="13" t="s">
        <v>243</v>
      </c>
      <c r="N23" s="16"/>
      <c r="O23" s="16"/>
      <c r="P23" s="16"/>
      <c r="Q23" s="16"/>
      <c r="R23" s="16"/>
      <c r="S23" s="16"/>
      <c r="T23" s="17" t="str">
        <f t="shared" si="2"/>
        <v/>
      </c>
    </row>
    <row r="24" ht="106.5" customHeight="1">
      <c r="A24" s="13" t="s">
        <v>140</v>
      </c>
      <c r="B24" s="13" t="str">
        <f t="shared" si="1"/>
        <v>AKL-PC-0023-26</v>
      </c>
      <c r="C24" s="19" t="s">
        <v>298</v>
      </c>
      <c r="D24" s="19" t="s">
        <v>299</v>
      </c>
      <c r="E24" s="19" t="s">
        <v>48</v>
      </c>
      <c r="F24" s="19" t="s">
        <v>160</v>
      </c>
      <c r="G24" s="19" t="s">
        <v>26</v>
      </c>
      <c r="H24" s="19" t="s">
        <v>28</v>
      </c>
      <c r="I24" s="19" t="s">
        <v>28</v>
      </c>
      <c r="J24" s="19" t="s">
        <v>227</v>
      </c>
      <c r="K24" s="19" t="s">
        <v>31</v>
      </c>
      <c r="L24" s="19" t="s">
        <v>36</v>
      </c>
      <c r="M24" s="19" t="s">
        <v>300</v>
      </c>
      <c r="N24" s="16"/>
      <c r="O24" s="16"/>
      <c r="P24" s="16"/>
      <c r="Q24" s="16"/>
      <c r="R24" s="16"/>
      <c r="S24" s="16"/>
      <c r="T24" s="17" t="str">
        <f t="shared" si="2"/>
        <v/>
      </c>
    </row>
    <row r="25" ht="106.5" customHeight="1">
      <c r="A25" s="13" t="s">
        <v>153</v>
      </c>
      <c r="B25" s="13" t="str">
        <f t="shared" si="1"/>
        <v>AKL-PC-0024-26</v>
      </c>
      <c r="C25" s="19" t="s">
        <v>302</v>
      </c>
      <c r="D25" s="19" t="s">
        <v>299</v>
      </c>
      <c r="E25" s="19" t="s">
        <v>48</v>
      </c>
      <c r="F25" s="19" t="s">
        <v>156</v>
      </c>
      <c r="G25" s="19" t="s">
        <v>26</v>
      </c>
      <c r="H25" s="19" t="s">
        <v>28</v>
      </c>
      <c r="I25" s="19" t="s">
        <v>28</v>
      </c>
      <c r="J25" s="19" t="s">
        <v>98</v>
      </c>
      <c r="K25" s="19" t="s">
        <v>31</v>
      </c>
      <c r="L25" s="19" t="s">
        <v>36</v>
      </c>
      <c r="M25" s="19" t="s">
        <v>303</v>
      </c>
      <c r="N25" s="16"/>
      <c r="O25" s="16"/>
      <c r="P25" s="16"/>
      <c r="Q25" s="16"/>
      <c r="R25" s="16"/>
      <c r="S25" s="16"/>
      <c r="T25" s="17" t="str">
        <f t="shared" si="2"/>
        <v/>
      </c>
    </row>
    <row r="26" ht="106.5" customHeight="1">
      <c r="A26" s="13" t="s">
        <v>161</v>
      </c>
      <c r="B26" s="13" t="str">
        <f t="shared" si="1"/>
        <v>AKL-PC-0025-26</v>
      </c>
      <c r="C26" s="19" t="s">
        <v>304</v>
      </c>
      <c r="D26" s="19" t="s">
        <v>306</v>
      </c>
      <c r="E26" s="19" t="s">
        <v>48</v>
      </c>
      <c r="F26" s="19"/>
      <c r="G26" s="19" t="s">
        <v>26</v>
      </c>
      <c r="H26" s="19" t="s">
        <v>28</v>
      </c>
      <c r="I26" s="19" t="s">
        <v>28</v>
      </c>
      <c r="J26" s="19" t="s">
        <v>307</v>
      </c>
      <c r="K26" s="19" t="s">
        <v>31</v>
      </c>
      <c r="L26" s="19" t="s">
        <v>36</v>
      </c>
      <c r="M26" s="19" t="s">
        <v>308</v>
      </c>
      <c r="N26" s="16"/>
      <c r="O26" s="16"/>
      <c r="P26" s="16"/>
      <c r="Q26" s="16"/>
      <c r="R26" s="16"/>
      <c r="S26" s="16"/>
      <c r="T26" s="17" t="str">
        <f t="shared" si="2"/>
        <v/>
      </c>
    </row>
    <row r="27" ht="106.5" customHeight="1">
      <c r="A27" s="13" t="s">
        <v>164</v>
      </c>
      <c r="B27" s="13" t="str">
        <f t="shared" si="1"/>
        <v>AKL-PC-0026-26</v>
      </c>
      <c r="C27" s="19" t="s">
        <v>309</v>
      </c>
      <c r="D27" s="19" t="s">
        <v>120</v>
      </c>
      <c r="E27" s="19" t="s">
        <v>23</v>
      </c>
      <c r="F27" s="19" t="s">
        <v>310</v>
      </c>
      <c r="G27" s="19" t="s">
        <v>26</v>
      </c>
      <c r="H27" s="19" t="s">
        <v>28</v>
      </c>
      <c r="I27" s="19" t="s">
        <v>28</v>
      </c>
      <c r="J27" s="19" t="s">
        <v>98</v>
      </c>
      <c r="K27" s="19" t="s">
        <v>311</v>
      </c>
      <c r="L27" s="19" t="s">
        <v>36</v>
      </c>
      <c r="M27" s="19" t="s">
        <v>312</v>
      </c>
      <c r="N27" s="16"/>
      <c r="O27" s="16"/>
      <c r="P27" s="16"/>
      <c r="Q27" s="16"/>
      <c r="R27" s="16"/>
      <c r="S27" s="16"/>
      <c r="T27" s="17" t="str">
        <f t="shared" si="2"/>
        <v/>
      </c>
    </row>
    <row r="28" ht="106.5" customHeight="1">
      <c r="A28" s="13" t="s">
        <v>170</v>
      </c>
      <c r="B28" s="13" t="str">
        <f t="shared" si="1"/>
        <v>AKL-PC-0027-26</v>
      </c>
      <c r="C28" s="19" t="s">
        <v>316</v>
      </c>
      <c r="D28" s="19" t="s">
        <v>317</v>
      </c>
      <c r="E28" s="19" t="s">
        <v>23</v>
      </c>
      <c r="F28" s="19" t="s">
        <v>56</v>
      </c>
      <c r="G28" s="19" t="s">
        <v>26</v>
      </c>
      <c r="H28" s="19" t="s">
        <v>28</v>
      </c>
      <c r="I28" s="19" t="s">
        <v>28</v>
      </c>
      <c r="J28" s="19" t="s">
        <v>98</v>
      </c>
      <c r="K28" s="19" t="s">
        <v>31</v>
      </c>
      <c r="L28" s="19" t="s">
        <v>36</v>
      </c>
      <c r="M28" s="19" t="s">
        <v>308</v>
      </c>
      <c r="N28" s="16"/>
      <c r="O28" s="16"/>
      <c r="P28" s="16"/>
      <c r="Q28" s="16"/>
      <c r="R28" s="16"/>
      <c r="S28" s="16"/>
      <c r="T28" s="17" t="str">
        <f t="shared" si="2"/>
        <v/>
      </c>
    </row>
    <row r="29" ht="106.5" customHeight="1">
      <c r="A29" s="13" t="s">
        <v>176</v>
      </c>
      <c r="B29" s="13" t="str">
        <f t="shared" si="1"/>
        <v>AKL-PC-0028-26</v>
      </c>
      <c r="C29" s="13" t="s">
        <v>318</v>
      </c>
      <c r="D29" s="13" t="s">
        <v>207</v>
      </c>
      <c r="E29" s="13" t="s">
        <v>23</v>
      </c>
      <c r="F29" s="13" t="s">
        <v>29</v>
      </c>
      <c r="G29" s="13" t="s">
        <v>26</v>
      </c>
      <c r="H29" s="13" t="s">
        <v>28</v>
      </c>
      <c r="I29" s="13" t="s">
        <v>28</v>
      </c>
      <c r="J29" s="13" t="s">
        <v>98</v>
      </c>
      <c r="K29" s="13" t="s">
        <v>31</v>
      </c>
      <c r="L29" s="13" t="s">
        <v>36</v>
      </c>
      <c r="M29" s="13" t="s">
        <v>243</v>
      </c>
      <c r="N29" s="16"/>
      <c r="O29" s="16"/>
      <c r="P29" s="16"/>
      <c r="Q29" s="16"/>
      <c r="R29" s="16"/>
      <c r="S29" s="16"/>
      <c r="T29" s="17" t="str">
        <f t="shared" si="2"/>
        <v/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5" width="17.13"/>
  </cols>
  <sheetData>
    <row r="1" ht="102.0" customHeight="1">
      <c r="A1" s="2" t="str">
        <f t="array" ref="A1">IFERROR(INDEX(AKL!$T:$T, (ROUNDUP(ROW()/2,0)-1)*5 + COLUMN() + 1), "")</f>
        <v/>
      </c>
      <c r="B1" s="2" t="str">
        <f t="array" ref="B1">IFERROR(INDEX(AKL!$T:$T, (ROUNDUP(ROW()/2,0)-1)*5 + COLUMN() + 1), "")</f>
        <v/>
      </c>
      <c r="C1" s="2" t="str">
        <f t="array" ref="C1">IFERROR(INDEX(AKL!$T:$T, (ROUNDUP(ROW()/2,0)-1)*5 + COLUMN() + 1), "")</f>
        <v/>
      </c>
      <c r="D1" s="2" t="str">
        <f t="array" ref="D1">IFERROR(INDEX(AKL!$T:$T, (ROUNDUP(ROW()/2,0)-1)*5 + COLUMN() + 1), "")</f>
        <v/>
      </c>
      <c r="E1" s="2" t="str">
        <f t="array" ref="E1">IFERROR(INDEX(AKL!$T:$T, (ROUNDUP(ROW()/2,0)-1)*5 + COLUMN() + 1), "")</f>
        <v/>
      </c>
      <c r="F1" s="2"/>
    </row>
    <row r="2">
      <c r="A2" s="2" t="str">
        <f t="array" ref="A2">IFERROR(INDEX(AKL!$B:$B, (ROW()/2-1)*5 + COLUMN() + 1), "")</f>
        <v>AKL-PC-001-26</v>
      </c>
      <c r="B2" s="2" t="str">
        <f t="array" ref="B2">IFERROR(INDEX(AKL!$B:$B, (ROW()/2-1)*5 + COLUMN() + 1), "")</f>
        <v>AKL-PC-002-26</v>
      </c>
      <c r="C2" s="2" t="str">
        <f t="array" ref="C2">IFERROR(INDEX(AKL!$B:$B, (ROW()/2-1)*5 + COLUMN() + 1), "")</f>
        <v>AKL-PC-003-26</v>
      </c>
      <c r="D2" s="2" t="str">
        <f t="array" ref="D2">IFERROR(INDEX(AKL!$B:$B, (ROW()/2-1)*5 + COLUMN() + 1), "")</f>
        <v>AKL-PC-004-26</v>
      </c>
      <c r="E2" s="2" t="str">
        <f t="array" ref="E2">IFERROR(INDEX(AKL!$B:$B, (ROW()/2-1)*5 + COLUMN() + 1), "")</f>
        <v>AKL-PC-005-26</v>
      </c>
      <c r="F2" s="2"/>
    </row>
    <row r="3" ht="102.0" customHeight="1">
      <c r="A3" s="2" t="str">
        <f t="array" ref="A3">IFERROR(INDEX(AKL!$T:$T, (ROUNDUP(ROW()/2,0)-1)*5 + COLUMN() + 1), "")</f>
        <v/>
      </c>
      <c r="B3" s="2" t="str">
        <f t="array" ref="B3">IFERROR(INDEX(AKL!$T:$T, (ROUNDUP(ROW()/2,0)-1)*5 + COLUMN() + 1), "")</f>
        <v/>
      </c>
      <c r="C3" s="2" t="str">
        <f t="array" ref="C3">IFERROR(INDEX(AKL!$T:$T, (ROUNDUP(ROW()/2,0)-1)*5 + COLUMN() + 1), "")</f>
        <v/>
      </c>
      <c r="D3" s="2" t="str">
        <f t="array" ref="D3">IFERROR(INDEX(AKL!$T:$T, (ROUNDUP(ROW()/2,0)-1)*5 + COLUMN() + 1), "")</f>
        <v/>
      </c>
      <c r="E3" s="2" t="str">
        <f t="array" ref="E3">IFERROR(INDEX(AKL!$T:$T, (ROUNDUP(ROW()/2,0)-1)*5 + COLUMN() + 1), "")</f>
        <v/>
      </c>
    </row>
    <row r="4">
      <c r="A4" s="2" t="str">
        <f t="array" ref="A4">IFERROR(INDEX(AKL!$B:$B, (ROW()/2-1)*5 + COLUMN() + 1), "")</f>
        <v>AKL-PC-006-26</v>
      </c>
      <c r="B4" s="2" t="str">
        <f t="array" ref="B4">IFERROR(INDEX(AKL!$B:$B, (ROW()/2-1)*5 + COLUMN() + 1), "")</f>
        <v>AKL-PC-007-26</v>
      </c>
      <c r="C4" s="2" t="str">
        <f t="array" ref="C4">IFERROR(INDEX(AKL!$B:$B, (ROW()/2-1)*5 + COLUMN() + 1), "")</f>
        <v>AKL-PC-008-26</v>
      </c>
      <c r="D4" s="2" t="str">
        <f t="array" ref="D4">IFERROR(INDEX(AKL!$B:$B, (ROW()/2-1)*5 + COLUMN() + 1), "")</f>
        <v>AKL-PC-009-26</v>
      </c>
      <c r="E4" s="2" t="str">
        <f t="array" ref="E4">IFERROR(INDEX(AKL!$B:$B, (ROW()/2-1)*5 + COLUMN() + 1), "")</f>
        <v>AKL-PC-0010-26</v>
      </c>
    </row>
    <row r="5" ht="102.0" customHeight="1">
      <c r="A5" s="2" t="str">
        <f t="array" ref="A5">IFERROR(INDEX(AKL!$T:$T, (ROUNDUP(ROW()/2,0)-1)*5 + COLUMN() + 1), "")</f>
        <v/>
      </c>
      <c r="B5" s="2" t="str">
        <f t="array" ref="B5">IFERROR(INDEX(AKL!$T:$T, (ROUNDUP(ROW()/2,0)-1)*5 + COLUMN() + 1), "")</f>
        <v/>
      </c>
      <c r="C5" s="2" t="str">
        <f t="array" ref="C5">IFERROR(INDEX(AKL!$T:$T, (ROUNDUP(ROW()/2,0)-1)*5 + COLUMN() + 1), "")</f>
        <v/>
      </c>
      <c r="D5" s="2" t="str">
        <f t="array" ref="D5">IFERROR(INDEX(AKL!$T:$T, (ROUNDUP(ROW()/2,0)-1)*5 + COLUMN() + 1), "")</f>
        <v/>
      </c>
      <c r="E5" s="2" t="str">
        <f t="array" ref="E5">IFERROR(INDEX(AKL!$T:$T, (ROUNDUP(ROW()/2,0)-1)*5 + COLUMN() + 1), "")</f>
        <v/>
      </c>
    </row>
    <row r="6">
      <c r="A6" s="2" t="str">
        <f t="array" ref="A6">IFERROR(INDEX(AKL!$B:$B, (ROW()/2-1)*5 + COLUMN() + 1), "")</f>
        <v>AKL-PC-0011-26</v>
      </c>
      <c r="B6" s="2" t="str">
        <f t="array" ref="B6">IFERROR(INDEX(AKL!$B:$B, (ROW()/2-1)*5 + COLUMN() + 1), "")</f>
        <v>AKL-PC-0012-26</v>
      </c>
      <c r="C6" s="2" t="str">
        <f t="array" ref="C6">IFERROR(INDEX(AKL!$B:$B, (ROW()/2-1)*5 + COLUMN() + 1), "")</f>
        <v>AKL-PC-0013-26</v>
      </c>
      <c r="D6" s="2" t="str">
        <f t="array" ref="D6">IFERROR(INDEX(AKL!$B:$B, (ROW()/2-1)*5 + COLUMN() + 1), "")</f>
        <v>AKL-PC-0014-26</v>
      </c>
      <c r="E6" s="2" t="str">
        <f t="array" ref="E6">IFERROR(INDEX(AKL!$B:$B, (ROW()/2-1)*5 + COLUMN() + 1), "")</f>
        <v>AKL-PC-0015-26</v>
      </c>
    </row>
    <row r="7" ht="102.0" customHeight="1">
      <c r="A7" s="2" t="str">
        <f t="array" ref="A7">IFERROR(INDEX(AKL!$T:$T, (ROUNDUP(ROW()/2,0)-1)*5 + COLUMN() + 1), "")</f>
        <v/>
      </c>
      <c r="B7" s="2" t="str">
        <f t="array" ref="B7">IFERROR(INDEX(AKL!$T:$T, (ROUNDUP(ROW()/2,0)-1)*5 + COLUMN() + 1), "")</f>
        <v/>
      </c>
      <c r="C7" s="2" t="str">
        <f t="array" ref="C7">IFERROR(INDEX(AKL!$T:$T, (ROUNDUP(ROW()/2,0)-1)*5 + COLUMN() + 1), "")</f>
        <v/>
      </c>
      <c r="D7" s="2" t="str">
        <f t="array" ref="D7">IFERROR(INDEX(AKL!$T:$T, (ROUNDUP(ROW()/2,0)-1)*5 + COLUMN() + 1), "")</f>
        <v/>
      </c>
      <c r="E7" s="2" t="str">
        <f t="array" ref="E7">IFERROR(INDEX(AKL!$T:$T, (ROUNDUP(ROW()/2,0)-1)*5 + COLUMN() + 1), "")</f>
        <v/>
      </c>
    </row>
    <row r="8">
      <c r="A8" s="2" t="str">
        <f t="array" ref="A8">IFERROR(INDEX(AKL!$B:$B, (ROW()/2-1)*5 + COLUMN() + 1), "")</f>
        <v>AKL-PC-0016-26</v>
      </c>
      <c r="B8" s="2" t="str">
        <f t="array" ref="B8">IFERROR(INDEX(AKL!$B:$B, (ROW()/2-1)*5 + COLUMN() + 1), "")</f>
        <v>AKL-PC-0017-26</v>
      </c>
      <c r="C8" s="2" t="str">
        <f t="array" ref="C8">IFERROR(INDEX(AKL!$B:$B, (ROW()/2-1)*5 + COLUMN() + 1), "")</f>
        <v>AKL-PC-0018-26</v>
      </c>
      <c r="D8" s="2" t="str">
        <f t="array" ref="D8">IFERROR(INDEX(AKL!$B:$B, (ROW()/2-1)*5 + COLUMN() + 1), "")</f>
        <v>AKL-PC-0019-26</v>
      </c>
      <c r="E8" s="2" t="str">
        <f t="array" ref="E8">IFERROR(INDEX(AKL!$B:$B, (ROW()/2-1)*5 + COLUMN() + 1), "")</f>
        <v>AKL-PC-0020-26</v>
      </c>
    </row>
    <row r="9" ht="102.0" customHeight="1">
      <c r="A9" s="2" t="str">
        <f t="array" ref="A9">IFERROR(INDEX(AKL!$T:$T, (ROUNDUP(ROW()/2,0)-1)*5 + COLUMN() + 1), "")</f>
        <v/>
      </c>
      <c r="B9" s="2" t="str">
        <f t="array" ref="B9">IFERROR(INDEX(AKL!$T:$T, (ROUNDUP(ROW()/2,0)-1)*5 + COLUMN() + 1), "")</f>
        <v/>
      </c>
      <c r="C9" s="2" t="str">
        <f t="array" ref="C9">IFERROR(INDEX(AKL!$T:$T, (ROUNDUP(ROW()/2,0)-1)*5 + COLUMN() + 1), "")</f>
        <v/>
      </c>
      <c r="D9" s="2" t="str">
        <f t="array" ref="D9">IFERROR(INDEX(AKL!$T:$T, (ROUNDUP(ROW()/2,0)-1)*5 + COLUMN() + 1), "")</f>
        <v/>
      </c>
      <c r="E9" s="2" t="str">
        <f t="array" ref="E9">IFERROR(INDEX(AKL!$T:$T, (ROUNDUP(ROW()/2,0)-1)*5 + COLUMN() + 1), "")</f>
        <v/>
      </c>
    </row>
    <row r="10">
      <c r="A10" s="2" t="str">
        <f t="array" ref="A10">IFERROR(INDEX(AKL!$B:$B, (ROW()/2-1)*5 + COLUMN() + 1), "")</f>
        <v>AKL-PC-0021-26</v>
      </c>
      <c r="B10" s="2" t="str">
        <f t="array" ref="B10">IFERROR(INDEX(AKL!$B:$B, (ROW()/2-1)*5 + COLUMN() + 1), "")</f>
        <v>AKL-PC-0022-26</v>
      </c>
      <c r="C10" s="2" t="str">
        <f t="array" ref="C10">IFERROR(INDEX(AKL!$B:$B, (ROW()/2-1)*5 + COLUMN() + 1), "")</f>
        <v>AKL-PC-0023-26</v>
      </c>
      <c r="D10" s="2" t="str">
        <f t="array" ref="D10">IFERROR(INDEX(AKL!$B:$B, (ROW()/2-1)*5 + COLUMN() + 1), "")</f>
        <v>AKL-PC-0024-26</v>
      </c>
      <c r="E10" s="2" t="str">
        <f t="array" ref="E10">IFERROR(INDEX(AKL!$B:$B, (ROW()/2-1)*5 + COLUMN() + 1), "")</f>
        <v>AKL-PC-0025-26</v>
      </c>
    </row>
    <row r="11" ht="102.0" customHeight="1">
      <c r="A11" s="2" t="str">
        <f t="array" ref="A11">IFERROR(INDEX(AKL!$T:$T, (ROUNDUP(ROW()/2,0)-1)*5 + COLUMN() + 1), "")</f>
        <v/>
      </c>
      <c r="B11" s="2" t="str">
        <f t="array" ref="B11">IFERROR(INDEX(AKL!$T:$T, (ROUNDUP(ROW()/2,0)-1)*5 + COLUMN() + 1), "")</f>
        <v/>
      </c>
      <c r="C11" s="2" t="str">
        <f t="array" ref="C11">IFERROR(INDEX(AKL!$T:$T, (ROUNDUP(ROW()/2,0)-1)*5 + COLUMN() + 1), "")</f>
        <v/>
      </c>
      <c r="D11" s="2"/>
      <c r="E11" s="2"/>
    </row>
    <row r="12">
      <c r="A12" s="2" t="str">
        <f t="array" ref="A12">IFERROR(INDEX(AKL!$B:$B, (ROW()/2-1)*5 + COLUMN() + 1), "")</f>
        <v>AKL-PC-0026-26</v>
      </c>
      <c r="B12" s="2" t="str">
        <f t="array" ref="B12">IFERROR(INDEX(AKL!$B:$B, (ROW()/2-1)*5 + COLUMN() + 1), "")</f>
        <v>AKL-PC-0027-26</v>
      </c>
      <c r="C12" s="2" t="str">
        <f t="array" ref="C12">IFERROR(INDEX(AKL!$B:$B, (ROW()/2-1)*5 + COLUMN() + 1), "")</f>
        <v>AKL-PC-0028-26</v>
      </c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 t="str">
        <f t="array" ref="A25">IFERROR(INDEX(AKL!$T:$T, (ROUNDUP(ROW()/2,0)-1)*5 + COLUMN() + 1), "")</f>
        <v/>
      </c>
      <c r="B25" s="2" t="str">
        <f t="array" ref="B25">IFERROR(INDEX(AKL!$T:$T, (ROUNDUP(ROW()/2,0)-1)*5 + COLUMN() + 1), "")</f>
        <v/>
      </c>
      <c r="C25" s="2" t="str">
        <f t="array" ref="C25">IFERROR(INDEX(AKL!$T:$T, (ROUNDUP(ROW()/2,0)-1)*5 + COLUMN() + 1), "")</f>
        <v/>
      </c>
      <c r="D25" s="2" t="str">
        <f t="array" ref="D25">IFERROR(INDEX(AKL!$T:$T, (ROUNDUP(ROW()/2,0)-1)*5 + COLUMN() + 1), "")</f>
        <v/>
      </c>
      <c r="E25" s="2" t="str">
        <f t="array" ref="E25">IFERROR(INDEX(AKL!$T:$T, (ROUNDUP(ROW()/2,0)-1)*5 + COLUMN() + 1), "")</f>
        <v/>
      </c>
    </row>
    <row r="26">
      <c r="A26" s="2" t="str">
        <f t="array" ref="A26">IFERROR(INDEX(AKL!$B:$B, (ROW()/2-1)*5 + COLUMN() + 1), "")</f>
        <v/>
      </c>
      <c r="B26" s="2" t="str">
        <f t="array" ref="B26">IFERROR(INDEX(AKL!$B:$B, (ROW()/2-1)*5 + COLUMN() + 1), "")</f>
        <v/>
      </c>
      <c r="C26" s="2" t="str">
        <f t="array" ref="C26">IFERROR(INDEX(AKL!$B:$B, (ROW()/2-1)*5 + COLUMN() + 1), "")</f>
        <v/>
      </c>
      <c r="D26" s="2" t="str">
        <f t="array" ref="D26">IFERROR(INDEX(AKL!$B:$B, (ROW()/2-1)*5 + COLUMN() + 1), "")</f>
        <v/>
      </c>
      <c r="E26" s="2" t="str">
        <f t="array" ref="E26">IFERROR(INDEX(AKL!$B:$B, (ROW()/2-1)*5 + COLUMN() + 1), "")</f>
        <v/>
      </c>
    </row>
    <row r="27">
      <c r="A27" s="2" t="str">
        <f t="array" ref="A27">IFERROR(INDEX(AKL!$T:$T, (ROUNDUP(ROW()/2,0)-1)*5 + COLUMN() + 1), "")</f>
        <v/>
      </c>
      <c r="B27" s="2" t="str">
        <f t="array" ref="B27">IFERROR(INDEX(AKL!$T:$T, (ROUNDUP(ROW()/2,0)-1)*5 + COLUMN() + 1), "")</f>
        <v/>
      </c>
      <c r="C27" s="2" t="str">
        <f t="array" ref="C27">IFERROR(INDEX(AKL!$T:$T, (ROUNDUP(ROW()/2,0)-1)*5 + COLUMN() + 1), "")</f>
        <v/>
      </c>
      <c r="D27" s="2" t="str">
        <f t="array" ref="D27">IFERROR(INDEX(AKL!$T:$T, (ROUNDUP(ROW()/2,0)-1)*5 + COLUMN() + 1), "")</f>
        <v/>
      </c>
      <c r="E27" s="2" t="str">
        <f t="array" ref="E27">IFERROR(INDEX(AKL!$T:$T, (ROUNDUP(ROW()/2,0)-1)*5 + COLUMN() + 1), "")</f>
        <v/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7.5"/>
    <col customWidth="1" min="3" max="3" width="20.88"/>
    <col customWidth="1" min="4" max="4" width="24.63"/>
    <col customWidth="1" min="5" max="5" width="11.38"/>
    <col customWidth="1" min="6" max="7" width="14.38"/>
    <col customWidth="1" min="8" max="8" width="15.63"/>
    <col customWidth="1" min="9" max="9" width="13.25"/>
    <col customWidth="1" min="10" max="10" width="16.13"/>
    <col customWidth="1" min="11" max="11" width="19.5"/>
    <col customWidth="1" min="12" max="12" width="19.13"/>
    <col customWidth="1" min="13" max="13" width="21.25"/>
    <col customWidth="1" min="14" max="15" width="39.25"/>
    <col customWidth="1" min="16" max="16" width="25.88"/>
    <col customWidth="1" min="17" max="17" width="24.75"/>
    <col customWidth="1" min="18" max="18" width="16.75"/>
    <col customWidth="1" min="19" max="19" width="26.63"/>
    <col customWidth="1" min="20" max="20" width="31.25"/>
    <col customWidth="1" min="21" max="28" width="8.63"/>
  </cols>
  <sheetData>
    <row r="1" ht="14.2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ht="118.5" customHeight="1">
      <c r="A2" s="13" t="s">
        <v>20</v>
      </c>
      <c r="B2" s="13" t="str">
        <f t="shared" ref="B2:B36" si="1">CONCATENATE("PM-PC-00",RIGHT(A2,LEN(A2) - (FIND(" ",A2))),"-26")</f>
        <v>PM-PC-001-26</v>
      </c>
      <c r="C2" s="19" t="s">
        <v>295</v>
      </c>
      <c r="D2" s="19" t="s">
        <v>53</v>
      </c>
      <c r="E2" s="13" t="s">
        <v>48</v>
      </c>
      <c r="F2" s="13" t="s">
        <v>251</v>
      </c>
      <c r="G2" s="19" t="s">
        <v>26</v>
      </c>
      <c r="H2" s="19" t="s">
        <v>28</v>
      </c>
      <c r="I2" s="19" t="s">
        <v>28</v>
      </c>
      <c r="J2" s="19" t="s">
        <v>44</v>
      </c>
      <c r="K2" s="19" t="s">
        <v>296</v>
      </c>
      <c r="L2" s="13" t="s">
        <v>36</v>
      </c>
      <c r="M2" s="19" t="s">
        <v>297</v>
      </c>
      <c r="N2" s="42"/>
      <c r="O2" s="42"/>
      <c r="P2" s="22"/>
      <c r="Q2" s="22"/>
      <c r="R2" s="22"/>
      <c r="S2" s="22"/>
      <c r="T2" s="17" t="str">
        <f t="shared" ref="T2:T36" si="2">IMAGE("https://quickchart.io/qr?text="&amp;ENCODEURL("https://script.google.com/macros/s/AKfycbwQpzkxOCRP3NYqoeT2iICUn44Z1fFWd3SGrCOmIeLE-uz8Fxp4eBwg-OJKyc6xQgcnDA/exec?id="&amp;B2))</f>
        <v/>
      </c>
    </row>
    <row r="3" ht="118.5" customHeight="1">
      <c r="A3" s="43" t="s">
        <v>40</v>
      </c>
      <c r="B3" s="8" t="str">
        <f t="shared" si="1"/>
        <v>PM-PC-002-26</v>
      </c>
      <c r="C3" s="44" t="s">
        <v>301</v>
      </c>
      <c r="D3" s="43" t="s">
        <v>207</v>
      </c>
      <c r="E3" s="43" t="s">
        <v>23</v>
      </c>
      <c r="F3" s="43" t="s">
        <v>25</v>
      </c>
      <c r="G3" s="43" t="s">
        <v>26</v>
      </c>
      <c r="H3" s="45" t="s">
        <v>28</v>
      </c>
      <c r="I3" s="45" t="s">
        <v>28</v>
      </c>
      <c r="J3" s="43" t="s">
        <v>50</v>
      </c>
      <c r="K3" s="45" t="s">
        <v>31</v>
      </c>
      <c r="L3" s="43" t="s">
        <v>32</v>
      </c>
      <c r="M3" s="43" t="s">
        <v>243</v>
      </c>
      <c r="N3" s="46"/>
      <c r="O3" s="22"/>
      <c r="P3" s="22"/>
      <c r="Q3" s="22"/>
      <c r="R3" s="22"/>
      <c r="S3" s="22"/>
      <c r="T3" s="17" t="str">
        <f t="shared" si="2"/>
        <v/>
      </c>
    </row>
    <row r="4" ht="118.5" customHeight="1">
      <c r="A4" s="13" t="s">
        <v>45</v>
      </c>
      <c r="B4" s="13" t="str">
        <f t="shared" si="1"/>
        <v>PM-PC-003-26</v>
      </c>
      <c r="C4" s="19" t="s">
        <v>305</v>
      </c>
      <c r="D4" s="19" t="s">
        <v>53</v>
      </c>
      <c r="E4" s="13" t="s">
        <v>48</v>
      </c>
      <c r="F4" s="13" t="s">
        <v>251</v>
      </c>
      <c r="G4" s="19" t="s">
        <v>26</v>
      </c>
      <c r="H4" s="19" t="s">
        <v>28</v>
      </c>
      <c r="I4" s="19" t="s">
        <v>28</v>
      </c>
      <c r="J4" s="19" t="s">
        <v>85</v>
      </c>
      <c r="K4" s="19" t="s">
        <v>296</v>
      </c>
      <c r="L4" s="13" t="s">
        <v>36</v>
      </c>
      <c r="M4" s="19" t="s">
        <v>297</v>
      </c>
      <c r="N4" s="22"/>
      <c r="O4" s="22"/>
      <c r="P4" s="22"/>
      <c r="Q4" s="22"/>
      <c r="R4" s="22"/>
      <c r="S4" s="22"/>
      <c r="T4" s="17" t="str">
        <f t="shared" si="2"/>
        <v/>
      </c>
    </row>
    <row r="5" ht="118.5" customHeight="1">
      <c r="A5" s="33" t="s">
        <v>54</v>
      </c>
      <c r="B5" s="33" t="str">
        <f t="shared" si="1"/>
        <v>PM-PC-004-26</v>
      </c>
      <c r="C5" s="33" t="s">
        <v>21</v>
      </c>
      <c r="D5" s="33" t="s">
        <v>130</v>
      </c>
      <c r="E5" s="33" t="s">
        <v>48</v>
      </c>
      <c r="F5" s="33" t="s">
        <v>251</v>
      </c>
      <c r="G5" s="33" t="s">
        <v>26</v>
      </c>
      <c r="H5" s="38" t="s">
        <v>28</v>
      </c>
      <c r="I5" s="38" t="s">
        <v>28</v>
      </c>
      <c r="J5" s="33" t="s">
        <v>313</v>
      </c>
      <c r="K5" s="38" t="s">
        <v>296</v>
      </c>
      <c r="L5" s="38" t="s">
        <v>314</v>
      </c>
      <c r="M5" s="33" t="s">
        <v>315</v>
      </c>
      <c r="N5" s="22"/>
      <c r="O5" s="22"/>
      <c r="P5" s="22"/>
      <c r="Q5" s="22"/>
      <c r="R5" s="22"/>
      <c r="S5" s="22"/>
      <c r="T5" s="17" t="str">
        <f t="shared" si="2"/>
        <v/>
      </c>
    </row>
    <row r="6" ht="118.5" customHeight="1">
      <c r="A6" s="8" t="s">
        <v>60</v>
      </c>
      <c r="B6" s="8" t="str">
        <f t="shared" si="1"/>
        <v>PM-PC-005-26</v>
      </c>
      <c r="C6" s="47" t="s">
        <v>21</v>
      </c>
      <c r="D6" s="8" t="s">
        <v>130</v>
      </c>
      <c r="E6" s="8" t="s">
        <v>48</v>
      </c>
      <c r="F6" s="8" t="s">
        <v>251</v>
      </c>
      <c r="G6" s="8" t="s">
        <v>26</v>
      </c>
      <c r="H6" s="12" t="s">
        <v>28</v>
      </c>
      <c r="I6" s="12" t="s">
        <v>28</v>
      </c>
      <c r="J6" s="8" t="s">
        <v>50</v>
      </c>
      <c r="K6" s="12" t="s">
        <v>296</v>
      </c>
      <c r="L6" s="8" t="s">
        <v>319</v>
      </c>
      <c r="M6" s="8" t="s">
        <v>315</v>
      </c>
      <c r="N6" s="22"/>
      <c r="O6" s="22"/>
      <c r="P6" s="22"/>
      <c r="Q6" s="22"/>
      <c r="R6" s="22"/>
      <c r="S6" s="22"/>
      <c r="T6" s="17" t="str">
        <f t="shared" si="2"/>
        <v/>
      </c>
    </row>
    <row r="7" ht="118.5" customHeight="1">
      <c r="A7" s="33" t="s">
        <v>68</v>
      </c>
      <c r="B7" s="33" t="str">
        <f t="shared" si="1"/>
        <v>PM-PC-006-26</v>
      </c>
      <c r="C7" s="33" t="s">
        <v>21</v>
      </c>
      <c r="D7" s="33" t="s">
        <v>130</v>
      </c>
      <c r="E7" s="33" t="s">
        <v>48</v>
      </c>
      <c r="F7" s="33" t="s">
        <v>251</v>
      </c>
      <c r="G7" s="33" t="s">
        <v>26</v>
      </c>
      <c r="H7" s="38" t="s">
        <v>28</v>
      </c>
      <c r="I7" s="38" t="s">
        <v>28</v>
      </c>
      <c r="J7" s="33" t="s">
        <v>50</v>
      </c>
      <c r="K7" s="38" t="s">
        <v>296</v>
      </c>
      <c r="L7" s="38" t="s">
        <v>320</v>
      </c>
      <c r="M7" s="33" t="s">
        <v>315</v>
      </c>
      <c r="N7" s="22"/>
      <c r="O7" s="22"/>
      <c r="P7" s="22"/>
      <c r="Q7" s="22"/>
      <c r="R7" s="22"/>
      <c r="S7" s="22"/>
      <c r="T7" s="17" t="str">
        <f t="shared" si="2"/>
        <v/>
      </c>
    </row>
    <row r="8" ht="118.5" customHeight="1">
      <c r="A8" s="33" t="s">
        <v>73</v>
      </c>
      <c r="B8" s="33" t="str">
        <f t="shared" si="1"/>
        <v>PM-PC-007-26</v>
      </c>
      <c r="C8" s="33" t="s">
        <v>21</v>
      </c>
      <c r="D8" s="33" t="s">
        <v>130</v>
      </c>
      <c r="E8" s="33" t="s">
        <v>48</v>
      </c>
      <c r="F8" s="33" t="s">
        <v>251</v>
      </c>
      <c r="G8" s="33" t="s">
        <v>26</v>
      </c>
      <c r="H8" s="38" t="s">
        <v>28</v>
      </c>
      <c r="I8" s="38" t="s">
        <v>28</v>
      </c>
      <c r="J8" s="33" t="s">
        <v>50</v>
      </c>
      <c r="K8" s="38" t="s">
        <v>296</v>
      </c>
      <c r="L8" s="38" t="s">
        <v>32</v>
      </c>
      <c r="M8" s="33" t="s">
        <v>315</v>
      </c>
      <c r="N8" s="22"/>
      <c r="O8" s="22"/>
      <c r="P8" s="22"/>
      <c r="Q8" s="22"/>
      <c r="R8" s="22"/>
      <c r="S8" s="22"/>
      <c r="T8" s="17" t="str">
        <f t="shared" si="2"/>
        <v/>
      </c>
    </row>
    <row r="9" ht="118.5" customHeight="1">
      <c r="A9" s="13" t="s">
        <v>78</v>
      </c>
      <c r="B9" s="13" t="str">
        <f t="shared" si="1"/>
        <v>PM-PC-008-26</v>
      </c>
      <c r="C9" s="13" t="s">
        <v>321</v>
      </c>
      <c r="D9" s="13" t="s">
        <v>130</v>
      </c>
      <c r="E9" s="13" t="s">
        <v>48</v>
      </c>
      <c r="F9" s="13" t="s">
        <v>251</v>
      </c>
      <c r="G9" s="13" t="s">
        <v>26</v>
      </c>
      <c r="H9" s="19" t="s">
        <v>28</v>
      </c>
      <c r="I9" s="19" t="s">
        <v>28</v>
      </c>
      <c r="J9" s="13" t="s">
        <v>30</v>
      </c>
      <c r="K9" s="19" t="s">
        <v>296</v>
      </c>
      <c r="L9" s="13" t="s">
        <v>36</v>
      </c>
      <c r="M9" s="13" t="s">
        <v>315</v>
      </c>
      <c r="N9" s="22"/>
      <c r="O9" s="22"/>
      <c r="P9" s="22"/>
      <c r="Q9" s="22"/>
      <c r="R9" s="22"/>
      <c r="S9" s="22"/>
      <c r="T9" s="17" t="str">
        <f t="shared" si="2"/>
        <v/>
      </c>
    </row>
    <row r="10" ht="118.5" customHeight="1">
      <c r="A10" s="8" t="s">
        <v>82</v>
      </c>
      <c r="B10" s="8" t="str">
        <f t="shared" si="1"/>
        <v>PM-PC-009-26</v>
      </c>
      <c r="C10" s="8" t="s">
        <v>322</v>
      </c>
      <c r="D10" s="8" t="s">
        <v>323</v>
      </c>
      <c r="E10" s="8" t="s">
        <v>48</v>
      </c>
      <c r="F10" s="8" t="s">
        <v>231</v>
      </c>
      <c r="G10" s="8" t="s">
        <v>26</v>
      </c>
      <c r="H10" s="12" t="s">
        <v>28</v>
      </c>
      <c r="I10" s="12" t="s">
        <v>28</v>
      </c>
      <c r="J10" s="8" t="s">
        <v>50</v>
      </c>
      <c r="K10" s="12" t="s">
        <v>324</v>
      </c>
      <c r="L10" s="12" t="s">
        <v>320</v>
      </c>
      <c r="M10" s="8" t="s">
        <v>243</v>
      </c>
      <c r="N10" s="22"/>
      <c r="O10" s="22"/>
      <c r="P10" s="22"/>
      <c r="Q10" s="22"/>
      <c r="R10" s="22"/>
      <c r="S10" s="22"/>
      <c r="T10" s="17" t="str">
        <f t="shared" si="2"/>
        <v/>
      </c>
    </row>
    <row r="11" ht="118.5" customHeight="1">
      <c r="A11" s="8" t="s">
        <v>89</v>
      </c>
      <c r="B11" s="8" t="str">
        <f t="shared" si="1"/>
        <v>PM-PC-0010-26</v>
      </c>
      <c r="C11" s="8" t="s">
        <v>21</v>
      </c>
      <c r="D11" s="8" t="s">
        <v>130</v>
      </c>
      <c r="E11" s="8" t="s">
        <v>48</v>
      </c>
      <c r="F11" s="8" t="s">
        <v>251</v>
      </c>
      <c r="G11" s="8" t="s">
        <v>26</v>
      </c>
      <c r="H11" s="12" t="s">
        <v>28</v>
      </c>
      <c r="I11" s="12" t="s">
        <v>28</v>
      </c>
      <c r="J11" s="8" t="s">
        <v>50</v>
      </c>
      <c r="K11" s="12" t="s">
        <v>296</v>
      </c>
      <c r="L11" s="8" t="s">
        <v>46</v>
      </c>
      <c r="M11" s="8" t="s">
        <v>315</v>
      </c>
      <c r="N11" s="22"/>
      <c r="O11" s="22"/>
      <c r="P11" s="22"/>
      <c r="Q11" s="22"/>
      <c r="R11" s="22"/>
      <c r="S11" s="22"/>
      <c r="T11" s="17" t="str">
        <f t="shared" si="2"/>
        <v/>
      </c>
    </row>
    <row r="12" ht="118.5" customHeight="1">
      <c r="A12" s="33" t="s">
        <v>91</v>
      </c>
      <c r="B12" s="33" t="str">
        <f t="shared" si="1"/>
        <v>PM-PC-0011-26</v>
      </c>
      <c r="C12" s="33" t="s">
        <v>21</v>
      </c>
      <c r="D12" s="33" t="s">
        <v>21</v>
      </c>
      <c r="E12" s="33" t="s">
        <v>21</v>
      </c>
      <c r="F12" s="33" t="s">
        <v>21</v>
      </c>
      <c r="G12" s="33" t="s">
        <v>21</v>
      </c>
      <c r="H12" s="33" t="s">
        <v>21</v>
      </c>
      <c r="I12" s="33" t="s">
        <v>21</v>
      </c>
      <c r="J12" s="33" t="s">
        <v>21</v>
      </c>
      <c r="K12" s="33" t="s">
        <v>21</v>
      </c>
      <c r="L12" s="33" t="s">
        <v>59</v>
      </c>
      <c r="M12" s="33" t="s">
        <v>21</v>
      </c>
      <c r="N12" s="22"/>
      <c r="O12" s="22"/>
      <c r="P12" s="22"/>
      <c r="Q12" s="22"/>
      <c r="R12" s="22"/>
      <c r="S12" s="22"/>
      <c r="T12" s="17" t="str">
        <f t="shared" si="2"/>
        <v/>
      </c>
    </row>
    <row r="13" ht="118.5" customHeight="1">
      <c r="A13" s="13" t="s">
        <v>93</v>
      </c>
      <c r="B13" s="13" t="str">
        <f t="shared" si="1"/>
        <v>PM-PC-0012-26</v>
      </c>
      <c r="C13" s="19" t="s">
        <v>325</v>
      </c>
      <c r="D13" s="19" t="s">
        <v>53</v>
      </c>
      <c r="E13" s="19" t="s">
        <v>278</v>
      </c>
      <c r="F13" s="19" t="s">
        <v>326</v>
      </c>
      <c r="G13" s="19" t="s">
        <v>26</v>
      </c>
      <c r="H13" s="19" t="s">
        <v>28</v>
      </c>
      <c r="I13" s="19" t="s">
        <v>28</v>
      </c>
      <c r="J13" s="19" t="s">
        <v>85</v>
      </c>
      <c r="K13" s="19" t="s">
        <v>296</v>
      </c>
      <c r="L13" s="13" t="s">
        <v>36</v>
      </c>
      <c r="M13" s="19" t="s">
        <v>327</v>
      </c>
      <c r="N13" s="22"/>
      <c r="O13" s="22"/>
      <c r="P13" s="22"/>
      <c r="Q13" s="22"/>
      <c r="R13" s="22"/>
      <c r="S13" s="22"/>
      <c r="T13" s="17" t="str">
        <f t="shared" si="2"/>
        <v/>
      </c>
    </row>
    <row r="14" ht="118.5" customHeight="1">
      <c r="A14" s="8" t="s">
        <v>99</v>
      </c>
      <c r="B14" s="8" t="str">
        <f t="shared" si="1"/>
        <v>PM-PC-0013-26</v>
      </c>
      <c r="C14" s="8" t="s">
        <v>21</v>
      </c>
      <c r="D14" s="8" t="s">
        <v>130</v>
      </c>
      <c r="E14" s="8" t="s">
        <v>48</v>
      </c>
      <c r="F14" s="8">
        <v>250.0</v>
      </c>
      <c r="G14" s="8" t="s">
        <v>26</v>
      </c>
      <c r="H14" s="12" t="s">
        <v>28</v>
      </c>
      <c r="I14" s="12" t="s">
        <v>28</v>
      </c>
      <c r="J14" s="8" t="s">
        <v>30</v>
      </c>
      <c r="K14" s="12" t="s">
        <v>296</v>
      </c>
      <c r="L14" s="8" t="s">
        <v>329</v>
      </c>
      <c r="M14" s="8" t="s">
        <v>315</v>
      </c>
      <c r="N14" s="22"/>
      <c r="O14" s="22"/>
      <c r="P14" s="22"/>
      <c r="Q14" s="22"/>
      <c r="R14" s="22"/>
      <c r="S14" s="22"/>
      <c r="T14" s="17" t="str">
        <f t="shared" si="2"/>
        <v/>
      </c>
    </row>
    <row r="15" ht="118.5" customHeight="1">
      <c r="A15" s="13" t="s">
        <v>102</v>
      </c>
      <c r="B15" s="13" t="str">
        <f t="shared" si="1"/>
        <v>PM-PC-0014-26</v>
      </c>
      <c r="C15" s="19" t="s">
        <v>331</v>
      </c>
      <c r="D15" s="19" t="s">
        <v>53</v>
      </c>
      <c r="E15" s="19" t="s">
        <v>278</v>
      </c>
      <c r="F15" s="49" t="s">
        <v>326</v>
      </c>
      <c r="G15" s="19" t="s">
        <v>26</v>
      </c>
      <c r="H15" s="19" t="s">
        <v>28</v>
      </c>
      <c r="I15" s="19" t="s">
        <v>28</v>
      </c>
      <c r="J15" s="19" t="s">
        <v>264</v>
      </c>
      <c r="K15" s="19" t="s">
        <v>296</v>
      </c>
      <c r="L15" s="19" t="s">
        <v>36</v>
      </c>
      <c r="M15" s="19" t="s">
        <v>333</v>
      </c>
      <c r="N15" s="22"/>
      <c r="O15" s="22"/>
      <c r="P15" s="22"/>
      <c r="Q15" s="22"/>
      <c r="R15" s="22"/>
      <c r="S15" s="22"/>
      <c r="T15" s="17" t="str">
        <f t="shared" si="2"/>
        <v/>
      </c>
    </row>
    <row r="16" ht="118.5" customHeight="1">
      <c r="A16" s="13" t="s">
        <v>106</v>
      </c>
      <c r="B16" s="13" t="str">
        <f t="shared" si="1"/>
        <v>PM-PC-0015-26</v>
      </c>
      <c r="C16" s="19" t="s">
        <v>334</v>
      </c>
      <c r="D16" s="19" t="s">
        <v>53</v>
      </c>
      <c r="E16" s="19" t="s">
        <v>278</v>
      </c>
      <c r="F16" s="49" t="s">
        <v>326</v>
      </c>
      <c r="G16" s="19" t="s">
        <v>26</v>
      </c>
      <c r="H16" s="19" t="s">
        <v>28</v>
      </c>
      <c r="I16" s="19" t="s">
        <v>28</v>
      </c>
      <c r="J16" s="19" t="s">
        <v>264</v>
      </c>
      <c r="K16" s="19" t="s">
        <v>296</v>
      </c>
      <c r="L16" s="19" t="s">
        <v>36</v>
      </c>
      <c r="M16" s="19" t="s">
        <v>333</v>
      </c>
      <c r="N16" s="22"/>
      <c r="O16" s="22"/>
      <c r="P16" s="22"/>
      <c r="Q16" s="22"/>
      <c r="R16" s="22"/>
      <c r="S16" s="22"/>
      <c r="T16" s="17" t="str">
        <f t="shared" si="2"/>
        <v/>
      </c>
    </row>
    <row r="17" ht="118.5" customHeight="1">
      <c r="A17" s="13" t="s">
        <v>109</v>
      </c>
      <c r="B17" s="13" t="str">
        <f t="shared" si="1"/>
        <v>PM-PC-0016-26</v>
      </c>
      <c r="C17" s="19" t="s">
        <v>337</v>
      </c>
      <c r="D17" s="19" t="s">
        <v>53</v>
      </c>
      <c r="E17" s="19" t="s">
        <v>278</v>
      </c>
      <c r="F17" s="49" t="s">
        <v>326</v>
      </c>
      <c r="G17" s="19" t="s">
        <v>26</v>
      </c>
      <c r="H17" s="19" t="s">
        <v>28</v>
      </c>
      <c r="I17" s="19" t="s">
        <v>28</v>
      </c>
      <c r="J17" s="19" t="s">
        <v>264</v>
      </c>
      <c r="K17" s="19" t="s">
        <v>296</v>
      </c>
      <c r="L17" s="19" t="s">
        <v>36</v>
      </c>
      <c r="M17" s="19" t="s">
        <v>333</v>
      </c>
      <c r="N17" s="22"/>
      <c r="O17" s="22"/>
      <c r="P17" s="22"/>
      <c r="Q17" s="22"/>
      <c r="R17" s="22"/>
      <c r="S17" s="22"/>
      <c r="T17" s="17" t="str">
        <f t="shared" si="2"/>
        <v/>
      </c>
    </row>
    <row r="18" ht="118.5" customHeight="1">
      <c r="A18" s="13" t="s">
        <v>113</v>
      </c>
      <c r="B18" s="13" t="str">
        <f t="shared" si="1"/>
        <v>PM-PC-0017-26</v>
      </c>
      <c r="C18" s="19" t="s">
        <v>340</v>
      </c>
      <c r="D18" s="19" t="s">
        <v>53</v>
      </c>
      <c r="E18" s="19" t="s">
        <v>278</v>
      </c>
      <c r="F18" s="49" t="s">
        <v>326</v>
      </c>
      <c r="G18" s="19" t="s">
        <v>26</v>
      </c>
      <c r="H18" s="19" t="s">
        <v>28</v>
      </c>
      <c r="I18" s="19" t="s">
        <v>28</v>
      </c>
      <c r="J18" s="19" t="s">
        <v>264</v>
      </c>
      <c r="K18" s="19" t="s">
        <v>296</v>
      </c>
      <c r="L18" s="19" t="s">
        <v>36</v>
      </c>
      <c r="M18" s="19" t="s">
        <v>333</v>
      </c>
      <c r="N18" s="22"/>
      <c r="O18" s="22"/>
      <c r="P18" s="22"/>
      <c r="Q18" s="22"/>
      <c r="R18" s="22"/>
      <c r="S18" s="22"/>
      <c r="T18" s="17" t="str">
        <f t="shared" si="2"/>
        <v/>
      </c>
    </row>
    <row r="19" ht="118.5" customHeight="1">
      <c r="A19" s="13" t="s">
        <v>117</v>
      </c>
      <c r="B19" s="13" t="str">
        <f t="shared" si="1"/>
        <v>PM-PC-0018-26</v>
      </c>
      <c r="C19" s="19" t="s">
        <v>343</v>
      </c>
      <c r="D19" s="19" t="s">
        <v>53</v>
      </c>
      <c r="E19" s="19" t="s">
        <v>278</v>
      </c>
      <c r="F19" s="49" t="s">
        <v>326</v>
      </c>
      <c r="G19" s="19" t="s">
        <v>26</v>
      </c>
      <c r="H19" s="19" t="s">
        <v>28</v>
      </c>
      <c r="I19" s="19" t="s">
        <v>28</v>
      </c>
      <c r="J19" s="19" t="s">
        <v>264</v>
      </c>
      <c r="K19" s="19" t="s">
        <v>344</v>
      </c>
      <c r="L19" s="19" t="s">
        <v>36</v>
      </c>
      <c r="M19" s="19" t="s">
        <v>135</v>
      </c>
      <c r="N19" s="22"/>
      <c r="O19" s="22"/>
      <c r="P19" s="22"/>
      <c r="Q19" s="22"/>
      <c r="R19" s="22"/>
      <c r="S19" s="22"/>
      <c r="T19" s="17" t="str">
        <f t="shared" si="2"/>
        <v/>
      </c>
    </row>
    <row r="20" ht="118.5" customHeight="1">
      <c r="A20" s="13" t="s">
        <v>124</v>
      </c>
      <c r="B20" s="13" t="str">
        <f t="shared" si="1"/>
        <v>PM-PC-0019-26</v>
      </c>
      <c r="C20" s="19" t="s">
        <v>346</v>
      </c>
      <c r="D20" s="19" t="s">
        <v>53</v>
      </c>
      <c r="E20" s="19" t="s">
        <v>278</v>
      </c>
      <c r="F20" s="49" t="s">
        <v>326</v>
      </c>
      <c r="G20" s="19" t="s">
        <v>26</v>
      </c>
      <c r="H20" s="19" t="s">
        <v>28</v>
      </c>
      <c r="I20" s="19" t="s">
        <v>28</v>
      </c>
      <c r="J20" s="19" t="s">
        <v>264</v>
      </c>
      <c r="K20" s="19" t="s">
        <v>296</v>
      </c>
      <c r="L20" s="19" t="s">
        <v>36</v>
      </c>
      <c r="M20" s="19" t="s">
        <v>348</v>
      </c>
      <c r="N20" s="22"/>
      <c r="O20" s="22"/>
      <c r="P20" s="22"/>
      <c r="Q20" s="22"/>
      <c r="R20" s="22"/>
      <c r="S20" s="22"/>
      <c r="T20" s="17" t="str">
        <f t="shared" si="2"/>
        <v/>
      </c>
    </row>
    <row r="21" ht="118.5" customHeight="1">
      <c r="A21" s="8" t="s">
        <v>126</v>
      </c>
      <c r="B21" s="8" t="str">
        <f t="shared" si="1"/>
        <v>PM-PC-0020-26</v>
      </c>
      <c r="C21" s="8" t="s">
        <v>21</v>
      </c>
      <c r="D21" s="8" t="s">
        <v>130</v>
      </c>
      <c r="E21" s="8" t="s">
        <v>48</v>
      </c>
      <c r="F21" s="8" t="s">
        <v>251</v>
      </c>
      <c r="G21" s="8" t="s">
        <v>26</v>
      </c>
      <c r="H21" s="12" t="s">
        <v>28</v>
      </c>
      <c r="I21" s="12" t="s">
        <v>28</v>
      </c>
      <c r="J21" s="8" t="s">
        <v>30</v>
      </c>
      <c r="K21" s="8" t="s">
        <v>296</v>
      </c>
      <c r="L21" s="8" t="s">
        <v>134</v>
      </c>
      <c r="M21" s="8" t="s">
        <v>315</v>
      </c>
      <c r="N21" s="22"/>
      <c r="O21" s="22"/>
      <c r="P21" s="22"/>
      <c r="Q21" s="22"/>
      <c r="R21" s="22"/>
      <c r="S21" s="22"/>
      <c r="T21" s="17" t="str">
        <f t="shared" si="2"/>
        <v/>
      </c>
    </row>
    <row r="22" ht="118.5" customHeight="1">
      <c r="A22" s="13" t="s">
        <v>129</v>
      </c>
      <c r="B22" s="13" t="str">
        <f t="shared" si="1"/>
        <v>PM-PC-0021-26</v>
      </c>
      <c r="C22" s="19" t="s">
        <v>352</v>
      </c>
      <c r="D22" s="19" t="s">
        <v>53</v>
      </c>
      <c r="E22" s="19" t="s">
        <v>278</v>
      </c>
      <c r="F22" s="19" t="s">
        <v>326</v>
      </c>
      <c r="G22" s="19" t="s">
        <v>26</v>
      </c>
      <c r="H22" s="19" t="s">
        <v>28</v>
      </c>
      <c r="I22" s="19" t="s">
        <v>28</v>
      </c>
      <c r="J22" s="19" t="s">
        <v>85</v>
      </c>
      <c r="K22" s="19" t="s">
        <v>296</v>
      </c>
      <c r="L22" s="19" t="s">
        <v>36</v>
      </c>
      <c r="M22" s="19" t="s">
        <v>348</v>
      </c>
      <c r="N22" s="22"/>
      <c r="O22" s="22"/>
      <c r="P22" s="22"/>
      <c r="Q22" s="22"/>
      <c r="R22" s="22"/>
      <c r="S22" s="22"/>
      <c r="T22" s="17" t="str">
        <f t="shared" si="2"/>
        <v/>
      </c>
    </row>
    <row r="23" ht="118.5" customHeight="1">
      <c r="A23" s="13" t="s">
        <v>136</v>
      </c>
      <c r="B23" s="13" t="str">
        <f t="shared" si="1"/>
        <v>PM-PC-0022-26</v>
      </c>
      <c r="C23" s="19" t="s">
        <v>356</v>
      </c>
      <c r="D23" s="19" t="s">
        <v>53</v>
      </c>
      <c r="E23" s="19" t="s">
        <v>278</v>
      </c>
      <c r="F23" s="19" t="s">
        <v>326</v>
      </c>
      <c r="G23" s="19" t="s">
        <v>26</v>
      </c>
      <c r="H23" s="19" t="s">
        <v>28</v>
      </c>
      <c r="I23" s="19" t="s">
        <v>28</v>
      </c>
      <c r="J23" s="19" t="s">
        <v>85</v>
      </c>
      <c r="K23" s="19" t="s">
        <v>296</v>
      </c>
      <c r="L23" s="19" t="s">
        <v>36</v>
      </c>
      <c r="M23" s="19" t="s">
        <v>348</v>
      </c>
      <c r="N23" s="22"/>
      <c r="O23" s="22"/>
      <c r="P23" s="22"/>
      <c r="Q23" s="22"/>
      <c r="R23" s="22"/>
      <c r="S23" s="22"/>
      <c r="T23" s="17" t="str">
        <f t="shared" si="2"/>
        <v/>
      </c>
    </row>
    <row r="24" ht="118.5" customHeight="1">
      <c r="A24" s="13" t="s">
        <v>140</v>
      </c>
      <c r="B24" s="13" t="str">
        <f t="shared" si="1"/>
        <v>PM-PC-0023-26</v>
      </c>
      <c r="C24" s="19" t="s">
        <v>361</v>
      </c>
      <c r="D24" s="19" t="s">
        <v>53</v>
      </c>
      <c r="E24" s="19" t="s">
        <v>278</v>
      </c>
      <c r="F24" s="19" t="s">
        <v>326</v>
      </c>
      <c r="G24" s="19" t="s">
        <v>26</v>
      </c>
      <c r="H24" s="19" t="s">
        <v>28</v>
      </c>
      <c r="I24" s="19" t="s">
        <v>28</v>
      </c>
      <c r="J24" s="19" t="s">
        <v>264</v>
      </c>
      <c r="K24" s="19" t="s">
        <v>201</v>
      </c>
      <c r="L24" s="19" t="s">
        <v>36</v>
      </c>
      <c r="M24" s="19" t="s">
        <v>348</v>
      </c>
      <c r="N24" s="22"/>
      <c r="O24" s="22"/>
      <c r="P24" s="22"/>
      <c r="Q24" s="22"/>
      <c r="R24" s="22"/>
      <c r="S24" s="22"/>
      <c r="T24" s="17" t="str">
        <f t="shared" si="2"/>
        <v/>
      </c>
    </row>
    <row r="25" ht="118.5" customHeight="1">
      <c r="A25" s="13" t="s">
        <v>153</v>
      </c>
      <c r="B25" s="13" t="str">
        <f t="shared" si="1"/>
        <v>PM-PC-0024-26</v>
      </c>
      <c r="C25" s="19" t="s">
        <v>364</v>
      </c>
      <c r="D25" s="19" t="s">
        <v>53</v>
      </c>
      <c r="E25" s="19" t="s">
        <v>278</v>
      </c>
      <c r="F25" s="19" t="s">
        <v>326</v>
      </c>
      <c r="G25" s="19" t="s">
        <v>26</v>
      </c>
      <c r="H25" s="19" t="s">
        <v>28</v>
      </c>
      <c r="I25" s="19" t="s">
        <v>28</v>
      </c>
      <c r="J25" s="19" t="s">
        <v>366</v>
      </c>
      <c r="K25" s="19" t="s">
        <v>296</v>
      </c>
      <c r="L25" s="19" t="s">
        <v>36</v>
      </c>
      <c r="M25" s="19" t="s">
        <v>348</v>
      </c>
      <c r="N25" s="22"/>
      <c r="O25" s="22"/>
      <c r="P25" s="22"/>
      <c r="Q25" s="22"/>
      <c r="R25" s="22"/>
      <c r="S25" s="22"/>
      <c r="T25" s="17" t="str">
        <f t="shared" si="2"/>
        <v/>
      </c>
    </row>
    <row r="26" ht="118.5" customHeight="1">
      <c r="A26" s="13" t="s">
        <v>161</v>
      </c>
      <c r="B26" s="13" t="str">
        <f t="shared" si="1"/>
        <v>PM-PC-0025-26</v>
      </c>
      <c r="C26" s="19" t="s">
        <v>368</v>
      </c>
      <c r="D26" s="19" t="s">
        <v>53</v>
      </c>
      <c r="E26" s="19" t="s">
        <v>278</v>
      </c>
      <c r="F26" s="19" t="s">
        <v>326</v>
      </c>
      <c r="G26" s="19" t="s">
        <v>26</v>
      </c>
      <c r="H26" s="19" t="s">
        <v>28</v>
      </c>
      <c r="I26" s="19" t="s">
        <v>28</v>
      </c>
      <c r="J26" s="19" t="s">
        <v>44</v>
      </c>
      <c r="K26" s="19" t="s">
        <v>296</v>
      </c>
      <c r="L26" s="19" t="s">
        <v>36</v>
      </c>
      <c r="M26" s="19" t="s">
        <v>348</v>
      </c>
      <c r="N26" s="22"/>
      <c r="O26" s="22"/>
      <c r="P26" s="22"/>
      <c r="Q26" s="22"/>
      <c r="R26" s="22"/>
      <c r="S26" s="22"/>
      <c r="T26" s="17" t="str">
        <f t="shared" si="2"/>
        <v/>
      </c>
    </row>
    <row r="27" ht="118.5" customHeight="1">
      <c r="A27" s="13" t="s">
        <v>164</v>
      </c>
      <c r="B27" s="13" t="str">
        <f t="shared" si="1"/>
        <v>PM-PC-0026-26</v>
      </c>
      <c r="C27" s="19" t="s">
        <v>369</v>
      </c>
      <c r="D27" s="19" t="s">
        <v>53</v>
      </c>
      <c r="E27" s="19" t="s">
        <v>278</v>
      </c>
      <c r="F27" s="19" t="s">
        <v>326</v>
      </c>
      <c r="G27" s="19" t="s">
        <v>26</v>
      </c>
      <c r="H27" s="19" t="s">
        <v>28</v>
      </c>
      <c r="I27" s="19" t="s">
        <v>28</v>
      </c>
      <c r="J27" s="19" t="s">
        <v>280</v>
      </c>
      <c r="K27" s="19" t="s">
        <v>296</v>
      </c>
      <c r="L27" s="19" t="s">
        <v>36</v>
      </c>
      <c r="M27" s="19" t="s">
        <v>348</v>
      </c>
      <c r="N27" s="22"/>
      <c r="O27" s="22"/>
      <c r="P27" s="22"/>
      <c r="Q27" s="22"/>
      <c r="R27" s="22"/>
      <c r="S27" s="22"/>
      <c r="T27" s="17" t="str">
        <f t="shared" si="2"/>
        <v/>
      </c>
    </row>
    <row r="28" ht="118.5" customHeight="1">
      <c r="A28" s="13" t="s">
        <v>170</v>
      </c>
      <c r="B28" s="13" t="str">
        <f t="shared" si="1"/>
        <v>PM-PC-0027-26</v>
      </c>
      <c r="C28" s="19" t="s">
        <v>371</v>
      </c>
      <c r="D28" s="19" t="s">
        <v>53</v>
      </c>
      <c r="E28" s="19" t="s">
        <v>278</v>
      </c>
      <c r="F28" s="19" t="s">
        <v>326</v>
      </c>
      <c r="G28" s="19" t="s">
        <v>26</v>
      </c>
      <c r="H28" s="19" t="s">
        <v>28</v>
      </c>
      <c r="I28" s="19" t="s">
        <v>28</v>
      </c>
      <c r="J28" s="19" t="s">
        <v>264</v>
      </c>
      <c r="K28" s="19" t="s">
        <v>296</v>
      </c>
      <c r="L28" s="19" t="s">
        <v>36</v>
      </c>
      <c r="M28" s="19" t="s">
        <v>348</v>
      </c>
      <c r="N28" s="22"/>
      <c r="O28" s="22"/>
      <c r="P28" s="22"/>
      <c r="Q28" s="22"/>
      <c r="R28" s="22"/>
      <c r="S28" s="22"/>
      <c r="T28" s="17" t="str">
        <f t="shared" si="2"/>
        <v/>
      </c>
    </row>
    <row r="29" ht="118.5" customHeight="1">
      <c r="A29" s="13" t="s">
        <v>176</v>
      </c>
      <c r="B29" s="13" t="str">
        <f t="shared" si="1"/>
        <v>PM-PC-0028-26</v>
      </c>
      <c r="C29" s="19" t="s">
        <v>373</v>
      </c>
      <c r="D29" s="19" t="s">
        <v>53</v>
      </c>
      <c r="E29" s="19" t="s">
        <v>278</v>
      </c>
      <c r="F29" s="19" t="s">
        <v>326</v>
      </c>
      <c r="G29" s="19" t="s">
        <v>26</v>
      </c>
      <c r="H29" s="19" t="s">
        <v>28</v>
      </c>
      <c r="I29" s="19" t="s">
        <v>28</v>
      </c>
      <c r="J29" s="19" t="s">
        <v>85</v>
      </c>
      <c r="K29" s="19" t="s">
        <v>375</v>
      </c>
      <c r="L29" s="19" t="s">
        <v>36</v>
      </c>
      <c r="M29" s="19" t="s">
        <v>348</v>
      </c>
      <c r="N29" s="22"/>
      <c r="O29" s="22"/>
      <c r="P29" s="22"/>
      <c r="Q29" s="22"/>
      <c r="R29" s="22"/>
      <c r="S29" s="22"/>
      <c r="T29" s="17" t="str">
        <f t="shared" si="2"/>
        <v/>
      </c>
    </row>
    <row r="30" ht="118.5" customHeight="1">
      <c r="A30" s="13" t="s">
        <v>181</v>
      </c>
      <c r="B30" s="13" t="str">
        <f t="shared" si="1"/>
        <v>PM-PC-0029-26</v>
      </c>
      <c r="C30" s="13" t="s">
        <v>376</v>
      </c>
      <c r="D30" s="13" t="s">
        <v>130</v>
      </c>
      <c r="E30" s="13" t="s">
        <v>48</v>
      </c>
      <c r="F30" s="13" t="s">
        <v>251</v>
      </c>
      <c r="G30" s="13" t="s">
        <v>26</v>
      </c>
      <c r="H30" s="19" t="s">
        <v>28</v>
      </c>
      <c r="I30" s="19" t="s">
        <v>28</v>
      </c>
      <c r="J30" s="13" t="s">
        <v>50</v>
      </c>
      <c r="K30" s="13" t="s">
        <v>296</v>
      </c>
      <c r="L30" s="13" t="s">
        <v>36</v>
      </c>
      <c r="M30" s="13" t="s">
        <v>315</v>
      </c>
      <c r="N30" s="22"/>
      <c r="O30" s="22"/>
      <c r="P30" s="22"/>
      <c r="Q30" s="22"/>
      <c r="R30" s="22"/>
      <c r="S30" s="22"/>
      <c r="T30" s="17" t="str">
        <f t="shared" si="2"/>
        <v/>
      </c>
    </row>
    <row r="31" ht="118.5" customHeight="1">
      <c r="A31" s="13" t="s">
        <v>186</v>
      </c>
      <c r="B31" s="13" t="str">
        <f t="shared" si="1"/>
        <v>PM-PC-0030-26</v>
      </c>
      <c r="C31" s="19" t="s">
        <v>378</v>
      </c>
      <c r="D31" s="19" t="s">
        <v>53</v>
      </c>
      <c r="E31" s="19" t="s">
        <v>278</v>
      </c>
      <c r="F31" s="19" t="s">
        <v>326</v>
      </c>
      <c r="G31" s="19" t="s">
        <v>26</v>
      </c>
      <c r="H31" s="19" t="s">
        <v>28</v>
      </c>
      <c r="I31" s="19" t="s">
        <v>28</v>
      </c>
      <c r="J31" s="19" t="s">
        <v>85</v>
      </c>
      <c r="K31" s="19" t="s">
        <v>296</v>
      </c>
      <c r="L31" s="19" t="s">
        <v>36</v>
      </c>
      <c r="M31" s="19" t="s">
        <v>348</v>
      </c>
      <c r="N31" s="22"/>
      <c r="O31" s="22"/>
      <c r="P31" s="22"/>
      <c r="Q31" s="22"/>
      <c r="R31" s="22"/>
      <c r="S31" s="22"/>
      <c r="T31" s="17" t="str">
        <f t="shared" si="2"/>
        <v/>
      </c>
    </row>
    <row r="32" ht="118.5" customHeight="1">
      <c r="A32" s="13" t="s">
        <v>189</v>
      </c>
      <c r="B32" s="13" t="str">
        <f t="shared" si="1"/>
        <v>PM-PC-0031-26</v>
      </c>
      <c r="C32" s="13" t="s">
        <v>379</v>
      </c>
      <c r="D32" s="13" t="s">
        <v>130</v>
      </c>
      <c r="E32" s="13" t="s">
        <v>48</v>
      </c>
      <c r="F32" s="13" t="s">
        <v>251</v>
      </c>
      <c r="G32" s="13" t="s">
        <v>26</v>
      </c>
      <c r="H32" s="19" t="s">
        <v>28</v>
      </c>
      <c r="I32" s="19" t="s">
        <v>28</v>
      </c>
      <c r="J32" s="13" t="s">
        <v>50</v>
      </c>
      <c r="K32" s="19" t="s">
        <v>296</v>
      </c>
      <c r="L32" s="13" t="s">
        <v>36</v>
      </c>
      <c r="M32" s="13" t="s">
        <v>315</v>
      </c>
      <c r="N32" s="22"/>
      <c r="O32" s="22"/>
      <c r="P32" s="22"/>
      <c r="Q32" s="22"/>
      <c r="R32" s="22"/>
      <c r="S32" s="22"/>
      <c r="T32" s="17" t="str">
        <f t="shared" si="2"/>
        <v/>
      </c>
    </row>
    <row r="33" ht="118.5" customHeight="1">
      <c r="A33" s="13" t="s">
        <v>191</v>
      </c>
      <c r="B33" s="13" t="str">
        <f t="shared" si="1"/>
        <v>PM-PC-0032-26</v>
      </c>
      <c r="C33" s="19" t="s">
        <v>381</v>
      </c>
      <c r="D33" s="19" t="s">
        <v>53</v>
      </c>
      <c r="E33" s="19" t="s">
        <v>278</v>
      </c>
      <c r="F33" s="19" t="s">
        <v>326</v>
      </c>
      <c r="G33" s="19" t="s">
        <v>26</v>
      </c>
      <c r="H33" s="19" t="s">
        <v>28</v>
      </c>
      <c r="I33" s="19" t="s">
        <v>28</v>
      </c>
      <c r="J33" s="19" t="s">
        <v>264</v>
      </c>
      <c r="K33" s="19" t="s">
        <v>296</v>
      </c>
      <c r="L33" s="19" t="s">
        <v>36</v>
      </c>
      <c r="M33" s="19" t="s">
        <v>382</v>
      </c>
      <c r="N33" s="22"/>
      <c r="O33" s="22"/>
      <c r="P33" s="22"/>
      <c r="Q33" s="22"/>
      <c r="R33" s="22"/>
      <c r="S33" s="22"/>
      <c r="T33" s="17" t="str">
        <f t="shared" si="2"/>
        <v/>
      </c>
    </row>
    <row r="34" ht="118.5" customHeight="1">
      <c r="A34" s="13" t="s">
        <v>194</v>
      </c>
      <c r="B34" s="13" t="str">
        <f t="shared" si="1"/>
        <v>PM-PC-0033-26</v>
      </c>
      <c r="C34" s="13" t="s">
        <v>383</v>
      </c>
      <c r="D34" s="13" t="s">
        <v>130</v>
      </c>
      <c r="E34" s="13" t="s">
        <v>48</v>
      </c>
      <c r="F34" s="13" t="s">
        <v>251</v>
      </c>
      <c r="G34" s="13" t="s">
        <v>26</v>
      </c>
      <c r="H34" s="19" t="s">
        <v>28</v>
      </c>
      <c r="I34" s="19" t="s">
        <v>28</v>
      </c>
      <c r="J34" s="13" t="s">
        <v>50</v>
      </c>
      <c r="K34" s="13" t="s">
        <v>296</v>
      </c>
      <c r="L34" s="13" t="s">
        <v>36</v>
      </c>
      <c r="M34" s="13" t="s">
        <v>315</v>
      </c>
      <c r="N34" s="22"/>
      <c r="O34" s="22"/>
      <c r="P34" s="22"/>
      <c r="Q34" s="22"/>
      <c r="R34" s="22"/>
      <c r="S34" s="22"/>
      <c r="T34" s="17" t="str">
        <f t="shared" si="2"/>
        <v/>
      </c>
    </row>
    <row r="35" ht="118.5" customHeight="1">
      <c r="A35" s="8" t="s">
        <v>197</v>
      </c>
      <c r="B35" s="8" t="str">
        <f t="shared" si="1"/>
        <v>PM-PC-0034-26</v>
      </c>
      <c r="C35" s="8" t="s">
        <v>21</v>
      </c>
      <c r="D35" s="8" t="s">
        <v>130</v>
      </c>
      <c r="E35" s="8" t="s">
        <v>48</v>
      </c>
      <c r="F35" s="8" t="s">
        <v>251</v>
      </c>
      <c r="G35" s="8" t="s">
        <v>26</v>
      </c>
      <c r="H35" s="12" t="s">
        <v>28</v>
      </c>
      <c r="I35" s="12" t="s">
        <v>28</v>
      </c>
      <c r="J35" s="8" t="s">
        <v>50</v>
      </c>
      <c r="K35" s="8" t="s">
        <v>296</v>
      </c>
      <c r="L35" s="8" t="s">
        <v>385</v>
      </c>
      <c r="M35" s="8" t="s">
        <v>315</v>
      </c>
      <c r="N35" s="22"/>
      <c r="O35" s="22"/>
      <c r="P35" s="22"/>
      <c r="Q35" s="22"/>
      <c r="R35" s="22"/>
      <c r="S35" s="22"/>
      <c r="T35" s="17" t="str">
        <f t="shared" si="2"/>
        <v/>
      </c>
    </row>
    <row r="36" ht="118.5" customHeight="1">
      <c r="A36" s="8" t="s">
        <v>203</v>
      </c>
      <c r="B36" s="8" t="str">
        <f t="shared" si="1"/>
        <v>PM-PC-0035-26</v>
      </c>
      <c r="C36" s="8" t="s">
        <v>21</v>
      </c>
      <c r="D36" s="8" t="s">
        <v>130</v>
      </c>
      <c r="E36" s="8" t="s">
        <v>48</v>
      </c>
      <c r="F36" s="8" t="s">
        <v>251</v>
      </c>
      <c r="G36" s="8" t="s">
        <v>26</v>
      </c>
      <c r="H36" s="12" t="s">
        <v>28</v>
      </c>
      <c r="I36" s="12" t="s">
        <v>28</v>
      </c>
      <c r="J36" s="8" t="s">
        <v>50</v>
      </c>
      <c r="K36" s="12" t="s">
        <v>296</v>
      </c>
      <c r="L36" s="8" t="s">
        <v>387</v>
      </c>
      <c r="M36" s="8" t="s">
        <v>315</v>
      </c>
      <c r="N36" s="22"/>
      <c r="O36" s="22"/>
      <c r="P36" s="22"/>
      <c r="Q36" s="22"/>
      <c r="R36" s="22"/>
      <c r="S36" s="22"/>
      <c r="T36" s="17" t="str">
        <f t="shared" si="2"/>
        <v/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7.13"/>
  </cols>
  <sheetData>
    <row r="1" ht="102.0" customHeight="1">
      <c r="A1" s="2" t="str">
        <f t="array" ref="A1">IFERROR(INDEX(PM!$T:$T, (ROUNDUP(ROW()/2,0)-1)*5 + COLUMN() + 1), "")</f>
        <v/>
      </c>
      <c r="B1" s="2" t="str">
        <f t="array" ref="B1">IFERROR(INDEX(PM!$T:$T, (ROUNDUP(ROW()/2,0)-1)*5 + COLUMN() + 1), "")</f>
        <v/>
      </c>
      <c r="C1" s="2" t="str">
        <f t="array" ref="C1">IFERROR(INDEX(PM!$T:$T, (ROUNDUP(ROW()/2,0)-1)*5 + COLUMN() + 1), "")</f>
        <v/>
      </c>
      <c r="D1" s="2" t="str">
        <f t="array" ref="D1">IFERROR(INDEX(PM!$T:$T, (ROUNDUP(ROW()/2,0)-1)*5 + COLUMN() + 1), "")</f>
        <v/>
      </c>
      <c r="E1" s="2" t="str">
        <f t="array" ref="E1">IFERROR(INDEX(PM!$T:$T, (ROUNDUP(ROW()/2,0)-1)*5 + COLUMN() + 1), "")</f>
        <v/>
      </c>
    </row>
    <row r="2">
      <c r="A2" s="2" t="str">
        <f t="array" ref="A2">IFERROR(INDEX(PM!$B:$B, (ROW()/2-1)*5 + COLUMN() + 1), "")</f>
        <v>PM-PC-001-26</v>
      </c>
      <c r="B2" s="2" t="str">
        <f t="array" ref="B2">IFERROR(INDEX(PM!$B:$B, (ROW()/2-1)*5 + COLUMN() + 1), "")</f>
        <v>PM-PC-002-26</v>
      </c>
      <c r="C2" s="2" t="str">
        <f t="array" ref="C2">IFERROR(INDEX(PM!$B:$B, (ROW()/2-1)*5 + COLUMN() + 1), "")</f>
        <v>PM-PC-003-26</v>
      </c>
      <c r="D2" s="2" t="str">
        <f t="array" ref="D2">IFERROR(INDEX(PM!$B:$B, (ROW()/2-1)*5 + COLUMN() + 1), "")</f>
        <v>PM-PC-004-26</v>
      </c>
      <c r="E2" s="2" t="str">
        <f t="array" ref="E2">IFERROR(INDEX(PM!$B:$B, (ROW()/2-1)*5 + COLUMN() + 1), "")</f>
        <v>PM-PC-005-26</v>
      </c>
    </row>
    <row r="3" ht="102.0" customHeight="1">
      <c r="A3" s="2" t="str">
        <f t="array" ref="A3">IFERROR(INDEX(PM!$T:$T, (ROUNDUP(ROW()/2,0)-1)*5 + COLUMN() + 1), "")</f>
        <v/>
      </c>
      <c r="B3" s="2" t="str">
        <f t="array" ref="B3">IFERROR(INDEX(PM!$T:$T, (ROUNDUP(ROW()/2,0)-1)*5 + COLUMN() + 1), "")</f>
        <v/>
      </c>
      <c r="C3" s="2" t="str">
        <f t="array" ref="C3">IFERROR(INDEX(PM!$T:$T, (ROUNDUP(ROW()/2,0)-1)*5 + COLUMN() + 1), "")</f>
        <v/>
      </c>
      <c r="D3" s="2" t="str">
        <f t="array" ref="D3">IFERROR(INDEX(PM!$T:$T, (ROUNDUP(ROW()/2,0)-1)*5 + COLUMN() + 1), "")</f>
        <v/>
      </c>
      <c r="E3" s="2" t="str">
        <f t="array" ref="E3">IFERROR(INDEX(PM!$T:$T, (ROUNDUP(ROW()/2,0)-1)*5 + COLUMN() + 1), "")</f>
        <v/>
      </c>
    </row>
    <row r="4">
      <c r="A4" s="2" t="str">
        <f t="array" ref="A4">IFERROR(INDEX(PM!$B:$B, (ROW()/2-1)*5 + COLUMN() + 1), "")</f>
        <v>PM-PC-006-26</v>
      </c>
      <c r="B4" s="2" t="str">
        <f t="array" ref="B4">IFERROR(INDEX(PM!$B:$B, (ROW()/2-1)*5 + COLUMN() + 1), "")</f>
        <v>PM-PC-007-26</v>
      </c>
      <c r="C4" s="2" t="str">
        <f t="array" ref="C4">IFERROR(INDEX(PM!$B:$B, (ROW()/2-1)*5 + COLUMN() + 1), "")</f>
        <v>PM-PC-008-26</v>
      </c>
      <c r="D4" s="2" t="str">
        <f t="array" ref="D4">IFERROR(INDEX(PM!$B:$B, (ROW()/2-1)*5 + COLUMN() + 1), "")</f>
        <v>PM-PC-009-26</v>
      </c>
      <c r="E4" s="2" t="str">
        <f t="array" ref="E4">IFERROR(INDEX(PM!$B:$B, (ROW()/2-1)*5 + COLUMN() + 1), "")</f>
        <v>PM-PC-0010-26</v>
      </c>
    </row>
    <row r="5" ht="102.0" customHeight="1">
      <c r="A5" s="2" t="str">
        <f t="array" ref="A5">IFERROR(INDEX(PM!$T:$T, (ROUNDUP(ROW()/2,0)-1)*5 + COLUMN() + 1), "")</f>
        <v/>
      </c>
      <c r="B5" s="2" t="str">
        <f t="array" ref="B5">IFERROR(INDEX(PM!$T:$T, (ROUNDUP(ROW()/2,0)-1)*5 + COLUMN() + 1), "")</f>
        <v/>
      </c>
      <c r="C5" s="2" t="str">
        <f t="array" ref="C5">IFERROR(INDEX(PM!$T:$T, (ROUNDUP(ROW()/2,0)-1)*5 + COLUMN() + 1), "")</f>
        <v/>
      </c>
      <c r="D5" s="2" t="str">
        <f t="array" ref="D5">IFERROR(INDEX(PM!$T:$T, (ROUNDUP(ROW()/2,0)-1)*5 + COLUMN() + 1), "")</f>
        <v/>
      </c>
      <c r="E5" s="2" t="str">
        <f t="array" ref="E5">IFERROR(INDEX(PM!$T:$T, (ROUNDUP(ROW()/2,0)-1)*5 + COLUMN() + 1), "")</f>
        <v/>
      </c>
    </row>
    <row r="6">
      <c r="A6" s="2" t="str">
        <f t="array" ref="A6">IFERROR(INDEX(PM!$B:$B, (ROW()/2-1)*5 + COLUMN() + 1), "")</f>
        <v>PM-PC-0011-26</v>
      </c>
      <c r="B6" s="2" t="str">
        <f t="array" ref="B6">IFERROR(INDEX(PM!$B:$B, (ROW()/2-1)*5 + COLUMN() + 1), "")</f>
        <v>PM-PC-0012-26</v>
      </c>
      <c r="C6" s="2" t="str">
        <f t="array" ref="C6">IFERROR(INDEX(PM!$B:$B, (ROW()/2-1)*5 + COLUMN() + 1), "")</f>
        <v>PM-PC-0013-26</v>
      </c>
      <c r="D6" s="2" t="str">
        <f t="array" ref="D6">IFERROR(INDEX(PM!$B:$B, (ROW()/2-1)*5 + COLUMN() + 1), "")</f>
        <v>PM-PC-0014-26</v>
      </c>
      <c r="E6" s="2" t="str">
        <f t="array" ref="E6">IFERROR(INDEX(PM!$B:$B, (ROW()/2-1)*5 + COLUMN() + 1), "")</f>
        <v>PM-PC-0015-26</v>
      </c>
    </row>
    <row r="7" ht="102.0" customHeight="1">
      <c r="A7" s="2" t="str">
        <f t="array" ref="A7">IFERROR(INDEX(PM!$T:$T, (ROUNDUP(ROW()/2,0)-1)*5 + COLUMN() + 1), "")</f>
        <v/>
      </c>
      <c r="B7" s="2" t="str">
        <f t="array" ref="B7">IFERROR(INDEX(PM!$T:$T, (ROUNDUP(ROW()/2,0)-1)*5 + COLUMN() + 1), "")</f>
        <v/>
      </c>
      <c r="C7" s="2" t="str">
        <f t="array" ref="C7">IFERROR(INDEX(PM!$T:$T, (ROUNDUP(ROW()/2,0)-1)*5 + COLUMN() + 1), "")</f>
        <v/>
      </c>
      <c r="D7" s="2" t="str">
        <f t="array" ref="D7">IFERROR(INDEX(PM!$T:$T, (ROUNDUP(ROW()/2,0)-1)*5 + COLUMN() + 1), "")</f>
        <v/>
      </c>
      <c r="E7" s="2" t="str">
        <f t="array" ref="E7">IFERROR(INDEX(PM!$T:$T, (ROUNDUP(ROW()/2,0)-1)*5 + COLUMN() + 1), "")</f>
        <v/>
      </c>
    </row>
    <row r="8">
      <c r="A8" s="2" t="str">
        <f t="array" ref="A8">IFERROR(INDEX(PM!$B:$B, (ROW()/2-1)*5 + COLUMN() + 1), "")</f>
        <v>PM-PC-0016-26</v>
      </c>
      <c r="B8" s="2" t="str">
        <f t="array" ref="B8">IFERROR(INDEX(PM!$B:$B, (ROW()/2-1)*5 + COLUMN() + 1), "")</f>
        <v>PM-PC-0017-26</v>
      </c>
      <c r="C8" s="2" t="str">
        <f t="array" ref="C8">IFERROR(INDEX(PM!$B:$B, (ROW()/2-1)*5 + COLUMN() + 1), "")</f>
        <v>PM-PC-0018-26</v>
      </c>
      <c r="D8" s="2" t="str">
        <f t="array" ref="D8">IFERROR(INDEX(PM!$B:$B, (ROW()/2-1)*5 + COLUMN() + 1), "")</f>
        <v>PM-PC-0019-26</v>
      </c>
      <c r="E8" s="2" t="str">
        <f t="array" ref="E8">IFERROR(INDEX(PM!$B:$B, (ROW()/2-1)*5 + COLUMN() + 1), "")</f>
        <v>PM-PC-0020-26</v>
      </c>
    </row>
    <row r="9" ht="102.0" customHeight="1">
      <c r="A9" s="2" t="str">
        <f t="array" ref="A9">IFERROR(INDEX(PM!$T:$T, (ROUNDUP(ROW()/2,0)-1)*5 + COLUMN() + 1), "")</f>
        <v/>
      </c>
      <c r="B9" s="2" t="str">
        <f t="array" ref="B9">IFERROR(INDEX(PM!$T:$T, (ROUNDUP(ROW()/2,0)-1)*5 + COLUMN() + 1), "")</f>
        <v/>
      </c>
      <c r="C9" s="2" t="str">
        <f t="array" ref="C9">IFERROR(INDEX(PM!$T:$T, (ROUNDUP(ROW()/2,0)-1)*5 + COLUMN() + 1), "")</f>
        <v/>
      </c>
      <c r="D9" s="2" t="str">
        <f t="array" ref="D9">IFERROR(INDEX(PM!$T:$T, (ROUNDUP(ROW()/2,0)-1)*5 + COLUMN() + 1), "")</f>
        <v/>
      </c>
      <c r="E9" s="2" t="str">
        <f t="array" ref="E9">IFERROR(INDEX(PM!$T:$T, (ROUNDUP(ROW()/2,0)-1)*5 + COLUMN() + 1), "")</f>
        <v/>
      </c>
    </row>
    <row r="10">
      <c r="A10" s="2" t="str">
        <f t="array" ref="A10">IFERROR(INDEX(PM!$B:$B, (ROW()/2-1)*5 + COLUMN() + 1), "")</f>
        <v>PM-PC-0021-26</v>
      </c>
      <c r="B10" s="2" t="str">
        <f t="array" ref="B10">IFERROR(INDEX(PM!$B:$B, (ROW()/2-1)*5 + COLUMN() + 1), "")</f>
        <v>PM-PC-0022-26</v>
      </c>
      <c r="C10" s="2" t="str">
        <f t="array" ref="C10">IFERROR(INDEX(PM!$B:$B, (ROW()/2-1)*5 + COLUMN() + 1), "")</f>
        <v>PM-PC-0023-26</v>
      </c>
      <c r="D10" s="2" t="str">
        <f t="array" ref="D10">IFERROR(INDEX(PM!$B:$B, (ROW()/2-1)*5 + COLUMN() + 1), "")</f>
        <v>PM-PC-0024-26</v>
      </c>
      <c r="E10" s="2" t="str">
        <f t="array" ref="E10">IFERROR(INDEX(PM!$B:$B, (ROW()/2-1)*5 + COLUMN() + 1), "")</f>
        <v>PM-PC-0025-26</v>
      </c>
    </row>
    <row r="11" ht="102.0" customHeight="1">
      <c r="A11" s="2" t="str">
        <f t="array" ref="A11">IFERROR(INDEX(PM!$T:$T, (ROUNDUP(ROW()/2,0)-1)*5 + COLUMN() + 1), "")</f>
        <v/>
      </c>
      <c r="B11" s="2" t="str">
        <f t="array" ref="B11">IFERROR(INDEX(PM!$T:$T, (ROUNDUP(ROW()/2,0)-1)*5 + COLUMN() + 1), "")</f>
        <v/>
      </c>
      <c r="C11" s="2" t="str">
        <f t="array" ref="C11">IFERROR(INDEX(PM!$T:$T, (ROUNDUP(ROW()/2,0)-1)*5 + COLUMN() + 1), "")</f>
        <v/>
      </c>
      <c r="D11" s="2" t="str">
        <f t="array" ref="D11">IFERROR(INDEX(PM!$T:$T, (ROUNDUP(ROW()/2,0)-1)*5 + COLUMN() + 1), "")</f>
        <v/>
      </c>
      <c r="E11" s="2" t="str">
        <f t="array" ref="E11">IFERROR(INDEX(PM!$T:$T, (ROUNDUP(ROW()/2,0)-1)*5 + COLUMN() + 1), "")</f>
        <v/>
      </c>
    </row>
    <row r="12">
      <c r="A12" s="2" t="str">
        <f t="array" ref="A12">IFERROR(INDEX(PM!$B:$B, (ROW()/2-1)*5 + COLUMN() + 1), "")</f>
        <v>PM-PC-0026-26</v>
      </c>
      <c r="B12" s="2" t="str">
        <f t="array" ref="B12">IFERROR(INDEX(PM!$B:$B, (ROW()/2-1)*5 + COLUMN() + 1), "")</f>
        <v>PM-PC-0027-26</v>
      </c>
      <c r="C12" s="2" t="str">
        <f t="array" ref="C12">IFERROR(INDEX(PM!$B:$B, (ROW()/2-1)*5 + COLUMN() + 1), "")</f>
        <v>PM-PC-0028-26</v>
      </c>
      <c r="D12" s="2" t="str">
        <f t="array" ref="D12">IFERROR(INDEX(PM!$B:$B, (ROW()/2-1)*5 + COLUMN() + 1), "")</f>
        <v>PM-PC-0029-26</v>
      </c>
      <c r="E12" s="2" t="str">
        <f t="array" ref="E12">IFERROR(INDEX(PM!$B:$B, (ROW()/2-1)*5 + COLUMN() + 1), "")</f>
        <v>PM-PC-0030-26</v>
      </c>
    </row>
    <row r="13" ht="102.0" customHeight="1">
      <c r="A13" s="2" t="str">
        <f t="array" ref="A13">IFERROR(INDEX(PM!$T:$T, (ROUNDUP(ROW()/2,0)-1)*5 + COLUMN() + 1), "")</f>
        <v/>
      </c>
      <c r="B13" s="2" t="str">
        <f t="array" ref="B13">IFERROR(INDEX(PM!$T:$T, (ROUNDUP(ROW()/2,0)-1)*5 + COLUMN() + 1), "")</f>
        <v/>
      </c>
      <c r="C13" s="2" t="str">
        <f t="array" ref="C13">IFERROR(INDEX(PM!$T:$T, (ROUNDUP(ROW()/2,0)-1)*5 + COLUMN() + 1), "")</f>
        <v/>
      </c>
      <c r="D13" s="2" t="str">
        <f t="array" ref="D13">IFERROR(INDEX(PM!$T:$T, (ROUNDUP(ROW()/2,0)-1)*5 + COLUMN() + 1), "")</f>
        <v/>
      </c>
      <c r="E13" s="2" t="str">
        <f t="array" ref="E13">IFERROR(INDEX(PM!$T:$T, (ROUNDUP(ROW()/2,0)-1)*5 + COLUMN() + 1), "")</f>
        <v/>
      </c>
    </row>
    <row r="14">
      <c r="A14" s="2" t="str">
        <f t="array" ref="A14">IFERROR(INDEX(PM!$B:$B, (ROW()/2-1)*5 + COLUMN() + 1), "")</f>
        <v>PM-PC-0031-26</v>
      </c>
      <c r="B14" s="2" t="str">
        <f t="array" ref="B14">IFERROR(INDEX(PM!$B:$B, (ROW()/2-1)*5 + COLUMN() + 1), "")</f>
        <v>PM-PC-0032-26</v>
      </c>
      <c r="C14" s="2" t="str">
        <f t="array" ref="C14">IFERROR(INDEX(PM!$B:$B, (ROW()/2-1)*5 + COLUMN() + 1), "")</f>
        <v>PM-PC-0033-26</v>
      </c>
      <c r="D14" s="2" t="str">
        <f t="array" ref="D14">IFERROR(INDEX(PM!$B:$B, (ROW()/2-1)*5 + COLUMN() + 1), "")</f>
        <v>PM-PC-0034-26</v>
      </c>
      <c r="E14" s="2" t="str">
        <f t="array" ref="E14">IFERROR(INDEX(PM!$B:$B, (ROW()/2-1)*5 + COLUMN() + 1), "")</f>
        <v>PM-PC-0035-26</v>
      </c>
    </row>
    <row r="15">
      <c r="A15" s="2" t="str">
        <f t="array" ref="A15">IFERROR(INDEX(PM!$T:$T, (ROUNDUP(ROW()/2,0)-1)*5 + COLUMN() + 1), "")</f>
        <v/>
      </c>
      <c r="B15" s="2"/>
      <c r="C15" s="2"/>
      <c r="D15" s="2"/>
      <c r="E15" s="2"/>
    </row>
    <row r="16">
      <c r="A16" s="2" t="str">
        <f t="array" ref="A16">IFERROR(INDEX(PM!$B:$B, (ROW()/2-1)*5 + COLUMN() + 1), "")</f>
        <v/>
      </c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7.63"/>
    <col customWidth="1" min="3" max="3" width="13.5"/>
    <col customWidth="1" min="4" max="4" width="16.88"/>
    <col customWidth="1" min="6" max="6" width="14.38"/>
    <col customWidth="1" min="7" max="7" width="15.13"/>
    <col customWidth="1" min="8" max="8" width="15.63"/>
    <col customWidth="1" min="10" max="10" width="18.63"/>
    <col customWidth="1" min="11" max="11" width="19.5"/>
    <col customWidth="1" min="12" max="12" width="25.25"/>
    <col customWidth="1" min="13" max="13" width="20.0"/>
    <col customWidth="1" min="14" max="15" width="29.25"/>
    <col customWidth="1" min="16" max="17" width="27.13"/>
    <col customWidth="1" min="18" max="19" width="17.88"/>
    <col customWidth="1" min="20" max="20" width="24.13"/>
  </cols>
  <sheetData>
    <row r="1" ht="22.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ht="94.5" customHeight="1">
      <c r="A2" s="48" t="s">
        <v>20</v>
      </c>
      <c r="B2" s="48" t="str">
        <f t="shared" ref="B2:B32" si="1">CONCATENATE("SMP-PC-00",RIGHT(A2,LEN(A2) - (FIND(" ",A2))),"-26")</f>
        <v>SMP-PC-001-26</v>
      </c>
      <c r="C2" s="48" t="s">
        <v>141</v>
      </c>
      <c r="D2" s="48" t="s">
        <v>130</v>
      </c>
      <c r="E2" s="48" t="s">
        <v>48</v>
      </c>
      <c r="F2" s="48" t="s">
        <v>29</v>
      </c>
      <c r="G2" s="48" t="s">
        <v>26</v>
      </c>
      <c r="H2" s="48" t="s">
        <v>28</v>
      </c>
      <c r="I2" s="48" t="s">
        <v>28</v>
      </c>
      <c r="J2" s="48" t="s">
        <v>328</v>
      </c>
      <c r="K2" s="48" t="s">
        <v>67</v>
      </c>
      <c r="L2" s="48" t="s">
        <v>36</v>
      </c>
      <c r="M2" s="48" t="s">
        <v>236</v>
      </c>
      <c r="N2" s="16"/>
      <c r="O2" s="16"/>
      <c r="P2" s="16"/>
      <c r="Q2" s="16"/>
      <c r="R2" s="16"/>
      <c r="S2" s="16"/>
      <c r="T2" s="17" t="str">
        <f t="shared" ref="T2:T32" si="2">IMAGE("https://quickchart.io/qr?text="&amp;ENCODEURL("https://script.google.com/macros/s/AKfycbwQpzkxOCRP3NYqoeT2iICUn44Z1fFWd3SGrCOmIeLE-uz8Fxp4eBwg-OJKyc6xQgcnDA/exec?id="&amp;B2))</f>
        <v/>
      </c>
    </row>
    <row r="3" ht="94.5" customHeight="1">
      <c r="A3" s="48" t="s">
        <v>40</v>
      </c>
      <c r="B3" s="48" t="str">
        <f t="shared" si="1"/>
        <v>SMP-PC-002-26</v>
      </c>
      <c r="C3" s="48" t="s">
        <v>330</v>
      </c>
      <c r="D3" s="48" t="s">
        <v>130</v>
      </c>
      <c r="E3" s="48" t="s">
        <v>48</v>
      </c>
      <c r="F3" s="48" t="s">
        <v>29</v>
      </c>
      <c r="G3" s="48" t="s">
        <v>26</v>
      </c>
      <c r="H3" s="48" t="s">
        <v>28</v>
      </c>
      <c r="I3" s="48" t="s">
        <v>28</v>
      </c>
      <c r="J3" s="48" t="s">
        <v>328</v>
      </c>
      <c r="K3" s="48" t="s">
        <v>67</v>
      </c>
      <c r="L3" s="48" t="s">
        <v>36</v>
      </c>
      <c r="M3" s="48" t="s">
        <v>37</v>
      </c>
      <c r="N3" s="16"/>
      <c r="O3" s="16"/>
      <c r="P3" s="16"/>
      <c r="Q3" s="16"/>
      <c r="R3" s="16"/>
      <c r="S3" s="16"/>
      <c r="T3" s="17" t="str">
        <f t="shared" si="2"/>
        <v/>
      </c>
    </row>
    <row r="4" ht="94.5" customHeight="1">
      <c r="A4" s="48" t="s">
        <v>45</v>
      </c>
      <c r="B4" s="48" t="str">
        <f t="shared" si="1"/>
        <v>SMP-PC-003-26</v>
      </c>
      <c r="C4" s="48" t="s">
        <v>332</v>
      </c>
      <c r="D4" s="48" t="s">
        <v>130</v>
      </c>
      <c r="E4" s="48" t="s">
        <v>48</v>
      </c>
      <c r="F4" s="48" t="s">
        <v>29</v>
      </c>
      <c r="G4" s="48" t="s">
        <v>26</v>
      </c>
      <c r="H4" s="48" t="s">
        <v>28</v>
      </c>
      <c r="I4" s="48" t="s">
        <v>28</v>
      </c>
      <c r="J4" s="48" t="s">
        <v>328</v>
      </c>
      <c r="K4" s="48" t="s">
        <v>67</v>
      </c>
      <c r="L4" s="48" t="s">
        <v>36</v>
      </c>
      <c r="M4" s="48" t="s">
        <v>37</v>
      </c>
      <c r="N4" s="16"/>
      <c r="O4" s="16"/>
      <c r="P4" s="16"/>
      <c r="Q4" s="16"/>
      <c r="R4" s="16"/>
      <c r="S4" s="16"/>
      <c r="T4" s="17" t="str">
        <f t="shared" si="2"/>
        <v/>
      </c>
    </row>
    <row r="5" ht="94.5" customHeight="1">
      <c r="A5" s="48" t="s">
        <v>54</v>
      </c>
      <c r="B5" s="48" t="str">
        <f t="shared" si="1"/>
        <v>SMP-PC-004-26</v>
      </c>
      <c r="C5" s="48" t="s">
        <v>335</v>
      </c>
      <c r="D5" s="48" t="s">
        <v>130</v>
      </c>
      <c r="E5" s="48" t="s">
        <v>336</v>
      </c>
      <c r="F5" s="48" t="s">
        <v>29</v>
      </c>
      <c r="G5" s="48" t="s">
        <v>26</v>
      </c>
      <c r="H5" s="48" t="s">
        <v>28</v>
      </c>
      <c r="I5" s="48" t="s">
        <v>28</v>
      </c>
      <c r="J5" s="48" t="s">
        <v>328</v>
      </c>
      <c r="K5" s="48" t="s">
        <v>67</v>
      </c>
      <c r="L5" s="48" t="s">
        <v>36</v>
      </c>
      <c r="M5" s="48" t="s">
        <v>37</v>
      </c>
      <c r="N5" s="16"/>
      <c r="O5" s="16"/>
      <c r="P5" s="16"/>
      <c r="Q5" s="16"/>
      <c r="R5" s="16"/>
      <c r="S5" s="16"/>
      <c r="T5" s="17" t="str">
        <f t="shared" si="2"/>
        <v/>
      </c>
    </row>
    <row r="6" ht="94.5" customHeight="1">
      <c r="A6" s="48" t="s">
        <v>60</v>
      </c>
      <c r="B6" s="48" t="str">
        <f t="shared" si="1"/>
        <v>SMP-PC-005-26</v>
      </c>
      <c r="C6" s="48" t="s">
        <v>338</v>
      </c>
      <c r="D6" s="48" t="s">
        <v>130</v>
      </c>
      <c r="E6" s="48" t="s">
        <v>48</v>
      </c>
      <c r="F6" s="48" t="s">
        <v>29</v>
      </c>
      <c r="G6" s="48" t="s">
        <v>26</v>
      </c>
      <c r="H6" s="48" t="s">
        <v>28</v>
      </c>
      <c r="I6" s="48" t="s">
        <v>28</v>
      </c>
      <c r="J6" s="48" t="s">
        <v>328</v>
      </c>
      <c r="K6" s="48" t="s">
        <v>67</v>
      </c>
      <c r="L6" s="48" t="s">
        <v>339</v>
      </c>
      <c r="M6" s="48" t="s">
        <v>37</v>
      </c>
      <c r="N6" s="16"/>
      <c r="O6" s="16"/>
      <c r="P6" s="16"/>
      <c r="Q6" s="16"/>
      <c r="R6" s="16"/>
      <c r="S6" s="16"/>
      <c r="T6" s="17" t="str">
        <f t="shared" si="2"/>
        <v/>
      </c>
    </row>
    <row r="7" ht="94.5" customHeight="1">
      <c r="A7" s="48" t="s">
        <v>68</v>
      </c>
      <c r="B7" s="48" t="str">
        <f t="shared" si="1"/>
        <v>SMP-PC-006-26</v>
      </c>
      <c r="C7" s="48" t="s">
        <v>341</v>
      </c>
      <c r="D7" s="48" t="s">
        <v>130</v>
      </c>
      <c r="E7" s="48" t="s">
        <v>342</v>
      </c>
      <c r="F7" s="48" t="s">
        <v>29</v>
      </c>
      <c r="G7" s="48" t="s">
        <v>26</v>
      </c>
      <c r="H7" s="48" t="s">
        <v>28</v>
      </c>
      <c r="I7" s="48" t="s">
        <v>28</v>
      </c>
      <c r="J7" s="48" t="s">
        <v>328</v>
      </c>
      <c r="K7" s="48" t="s">
        <v>67</v>
      </c>
      <c r="L7" s="48" t="s">
        <v>36</v>
      </c>
      <c r="M7" s="48" t="s">
        <v>37</v>
      </c>
      <c r="N7" s="16"/>
      <c r="O7" s="16"/>
      <c r="P7" s="16"/>
      <c r="Q7" s="16"/>
      <c r="R7" s="16"/>
      <c r="S7" s="16"/>
      <c r="T7" s="17" t="str">
        <f t="shared" si="2"/>
        <v/>
      </c>
    </row>
    <row r="8" ht="94.5" customHeight="1">
      <c r="A8" s="50" t="s">
        <v>73</v>
      </c>
      <c r="B8" s="50" t="str">
        <f t="shared" si="1"/>
        <v>SMP-PC-007-26</v>
      </c>
      <c r="C8" s="50" t="s">
        <v>21</v>
      </c>
      <c r="D8" s="50" t="s">
        <v>345</v>
      </c>
      <c r="E8" s="50" t="s">
        <v>48</v>
      </c>
      <c r="F8" s="50" t="s">
        <v>29</v>
      </c>
      <c r="G8" s="50" t="s">
        <v>26</v>
      </c>
      <c r="H8" s="50" t="s">
        <v>28</v>
      </c>
      <c r="I8" s="50" t="s">
        <v>28</v>
      </c>
      <c r="J8" s="50" t="s">
        <v>328</v>
      </c>
      <c r="K8" s="50" t="s">
        <v>296</v>
      </c>
      <c r="L8" s="50" t="s">
        <v>347</v>
      </c>
      <c r="M8" s="50" t="s">
        <v>315</v>
      </c>
      <c r="N8" s="16"/>
      <c r="O8" s="16"/>
      <c r="P8" s="16"/>
      <c r="Q8" s="16"/>
      <c r="R8" s="16"/>
      <c r="S8" s="16"/>
      <c r="T8" s="17" t="str">
        <f t="shared" si="2"/>
        <v/>
      </c>
    </row>
    <row r="9" ht="94.5" customHeight="1">
      <c r="A9" s="50" t="s">
        <v>78</v>
      </c>
      <c r="B9" s="50" t="str">
        <f t="shared" si="1"/>
        <v>SMP-PC-008-26</v>
      </c>
      <c r="C9" s="50" t="s">
        <v>349</v>
      </c>
      <c r="D9" s="50" t="s">
        <v>345</v>
      </c>
      <c r="E9" s="50" t="s">
        <v>23</v>
      </c>
      <c r="F9" s="50" t="s">
        <v>29</v>
      </c>
      <c r="G9" s="50" t="s">
        <v>350</v>
      </c>
      <c r="H9" s="50" t="s">
        <v>28</v>
      </c>
      <c r="I9" s="50" t="s">
        <v>28</v>
      </c>
      <c r="J9" s="50" t="s">
        <v>328</v>
      </c>
      <c r="K9" s="50" t="s">
        <v>351</v>
      </c>
      <c r="L9" s="50" t="s">
        <v>347</v>
      </c>
      <c r="M9" s="50" t="s">
        <v>315</v>
      </c>
      <c r="N9" s="16"/>
      <c r="O9" s="16"/>
      <c r="P9" s="16"/>
      <c r="Q9" s="16"/>
      <c r="R9" s="16"/>
      <c r="S9" s="16"/>
      <c r="T9" s="17" t="str">
        <f t="shared" si="2"/>
        <v/>
      </c>
    </row>
    <row r="10" ht="94.5" customHeight="1">
      <c r="A10" s="48" t="s">
        <v>82</v>
      </c>
      <c r="B10" s="48" t="str">
        <f t="shared" si="1"/>
        <v>SMP-PC-009-26</v>
      </c>
      <c r="C10" s="48" t="s">
        <v>353</v>
      </c>
      <c r="D10" s="48" t="s">
        <v>130</v>
      </c>
      <c r="E10" s="48" t="s">
        <v>354</v>
      </c>
      <c r="F10" s="48" t="s">
        <v>29</v>
      </c>
      <c r="G10" s="48" t="s">
        <v>355</v>
      </c>
      <c r="H10" s="48" t="s">
        <v>28</v>
      </c>
      <c r="I10" s="48" t="s">
        <v>28</v>
      </c>
      <c r="J10" s="48" t="s">
        <v>328</v>
      </c>
      <c r="K10" s="48" t="s">
        <v>67</v>
      </c>
      <c r="L10" s="48" t="s">
        <v>339</v>
      </c>
      <c r="M10" s="48" t="s">
        <v>37</v>
      </c>
      <c r="N10" s="16"/>
      <c r="O10" s="16"/>
      <c r="P10" s="16"/>
      <c r="Q10" s="16"/>
      <c r="R10" s="16"/>
      <c r="S10" s="16"/>
      <c r="T10" s="17" t="str">
        <f t="shared" si="2"/>
        <v/>
      </c>
    </row>
    <row r="11" ht="94.5" customHeight="1">
      <c r="A11" s="48" t="s">
        <v>89</v>
      </c>
      <c r="B11" s="48" t="str">
        <f t="shared" si="1"/>
        <v>SMP-PC-0010-26</v>
      </c>
      <c r="C11" s="48" t="s">
        <v>357</v>
      </c>
      <c r="D11" s="48" t="s">
        <v>358</v>
      </c>
      <c r="E11" s="48" t="s">
        <v>354</v>
      </c>
      <c r="F11" s="48" t="s">
        <v>29</v>
      </c>
      <c r="G11" s="48" t="s">
        <v>350</v>
      </c>
      <c r="H11" s="48" t="s">
        <v>28</v>
      </c>
      <c r="I11" s="48" t="s">
        <v>28</v>
      </c>
      <c r="J11" s="48" t="s">
        <v>328</v>
      </c>
      <c r="K11" s="48" t="s">
        <v>359</v>
      </c>
      <c r="L11" s="48" t="s">
        <v>339</v>
      </c>
      <c r="M11" s="48" t="s">
        <v>360</v>
      </c>
      <c r="N11" s="16"/>
      <c r="O11" s="16"/>
      <c r="P11" s="16"/>
      <c r="Q11" s="16"/>
      <c r="R11" s="16"/>
      <c r="S11" s="16"/>
      <c r="T11" s="17" t="str">
        <f t="shared" si="2"/>
        <v/>
      </c>
    </row>
    <row r="12" ht="94.5" customHeight="1">
      <c r="A12" s="48" t="s">
        <v>91</v>
      </c>
      <c r="B12" s="48" t="str">
        <f t="shared" si="1"/>
        <v>SMP-PC-0011-26</v>
      </c>
      <c r="C12" s="48" t="s">
        <v>362</v>
      </c>
      <c r="D12" s="48" t="s">
        <v>130</v>
      </c>
      <c r="E12" s="48" t="s">
        <v>363</v>
      </c>
      <c r="F12" s="48" t="s">
        <v>29</v>
      </c>
      <c r="G12" s="48" t="s">
        <v>350</v>
      </c>
      <c r="H12" s="48" t="s">
        <v>28</v>
      </c>
      <c r="I12" s="48" t="s">
        <v>28</v>
      </c>
      <c r="J12" s="48" t="s">
        <v>328</v>
      </c>
      <c r="K12" s="48" t="s">
        <v>359</v>
      </c>
      <c r="L12" s="48" t="s">
        <v>339</v>
      </c>
      <c r="M12" s="48" t="s">
        <v>37</v>
      </c>
      <c r="N12" s="16"/>
      <c r="O12" s="16"/>
      <c r="P12" s="16"/>
      <c r="Q12" s="16"/>
      <c r="R12" s="16"/>
      <c r="S12" s="16"/>
      <c r="T12" s="17" t="str">
        <f t="shared" si="2"/>
        <v/>
      </c>
    </row>
    <row r="13" ht="94.5" customHeight="1">
      <c r="A13" s="48" t="s">
        <v>93</v>
      </c>
      <c r="B13" s="48" t="str">
        <f t="shared" si="1"/>
        <v>SMP-PC-0012-26</v>
      </c>
      <c r="C13" s="48" t="s">
        <v>365</v>
      </c>
      <c r="D13" s="48" t="s">
        <v>358</v>
      </c>
      <c r="E13" s="48" t="s">
        <v>354</v>
      </c>
      <c r="F13" s="48" t="s">
        <v>29</v>
      </c>
      <c r="G13" s="48" t="s">
        <v>350</v>
      </c>
      <c r="H13" s="48" t="s">
        <v>28</v>
      </c>
      <c r="I13" s="48" t="s">
        <v>28</v>
      </c>
      <c r="J13" s="48" t="s">
        <v>328</v>
      </c>
      <c r="K13" s="48" t="s">
        <v>359</v>
      </c>
      <c r="L13" s="48" t="s">
        <v>339</v>
      </c>
      <c r="M13" s="48" t="s">
        <v>360</v>
      </c>
      <c r="N13" s="16"/>
      <c r="O13" s="16"/>
      <c r="P13" s="16"/>
      <c r="Q13" s="16"/>
      <c r="R13" s="16"/>
      <c r="S13" s="16"/>
      <c r="T13" s="17" t="str">
        <f t="shared" si="2"/>
        <v/>
      </c>
    </row>
    <row r="14" ht="94.5" customHeight="1">
      <c r="A14" s="48" t="s">
        <v>99</v>
      </c>
      <c r="B14" s="48" t="str">
        <f t="shared" si="1"/>
        <v>SMP-PC-0013-26</v>
      </c>
      <c r="C14" s="48" t="s">
        <v>367</v>
      </c>
      <c r="D14" s="48" t="s">
        <v>358</v>
      </c>
      <c r="E14" s="48" t="s">
        <v>354</v>
      </c>
      <c r="F14" s="48" t="s">
        <v>29</v>
      </c>
      <c r="G14" s="48" t="s">
        <v>350</v>
      </c>
      <c r="H14" s="48" t="s">
        <v>28</v>
      </c>
      <c r="I14" s="48" t="s">
        <v>28</v>
      </c>
      <c r="J14" s="48" t="s">
        <v>328</v>
      </c>
      <c r="K14" s="48" t="s">
        <v>359</v>
      </c>
      <c r="L14" s="48" t="s">
        <v>339</v>
      </c>
      <c r="M14" s="48" t="s">
        <v>360</v>
      </c>
      <c r="N14" s="16"/>
      <c r="O14" s="16"/>
      <c r="P14" s="16"/>
      <c r="Q14" s="16"/>
      <c r="R14" s="16"/>
      <c r="S14" s="16"/>
      <c r="T14" s="17" t="str">
        <f t="shared" si="2"/>
        <v/>
      </c>
    </row>
    <row r="15" ht="94.5" customHeight="1">
      <c r="A15" s="48" t="s">
        <v>102</v>
      </c>
      <c r="B15" s="48" t="str">
        <f t="shared" si="1"/>
        <v>SMP-PC-0014-26</v>
      </c>
      <c r="C15" s="48" t="s">
        <v>370</v>
      </c>
      <c r="D15" s="48" t="s">
        <v>130</v>
      </c>
      <c r="E15" s="48" t="s">
        <v>354</v>
      </c>
      <c r="F15" s="48" t="s">
        <v>29</v>
      </c>
      <c r="G15" s="48" t="s">
        <v>350</v>
      </c>
      <c r="H15" s="48" t="s">
        <v>28</v>
      </c>
      <c r="I15" s="48" t="s">
        <v>28</v>
      </c>
      <c r="J15" s="48" t="s">
        <v>328</v>
      </c>
      <c r="K15" s="48" t="s">
        <v>359</v>
      </c>
      <c r="L15" s="48" t="s">
        <v>339</v>
      </c>
      <c r="M15" s="48" t="s">
        <v>360</v>
      </c>
      <c r="N15" s="16"/>
      <c r="O15" s="16"/>
      <c r="P15" s="16"/>
      <c r="Q15" s="16"/>
      <c r="R15" s="16"/>
      <c r="S15" s="16"/>
      <c r="T15" s="17" t="str">
        <f t="shared" si="2"/>
        <v/>
      </c>
    </row>
    <row r="16" ht="94.5" customHeight="1">
      <c r="A16" s="48" t="s">
        <v>106</v>
      </c>
      <c r="B16" s="48" t="str">
        <f t="shared" si="1"/>
        <v>SMP-PC-0015-26</v>
      </c>
      <c r="C16" s="48" t="s">
        <v>372</v>
      </c>
      <c r="D16" s="48" t="s">
        <v>358</v>
      </c>
      <c r="E16" s="48" t="s">
        <v>354</v>
      </c>
      <c r="F16" s="48" t="s">
        <v>29</v>
      </c>
      <c r="G16" s="48" t="s">
        <v>350</v>
      </c>
      <c r="H16" s="48" t="s">
        <v>28</v>
      </c>
      <c r="I16" s="48" t="s">
        <v>28</v>
      </c>
      <c r="J16" s="48" t="s">
        <v>328</v>
      </c>
      <c r="K16" s="48" t="s">
        <v>359</v>
      </c>
      <c r="L16" s="48" t="s">
        <v>339</v>
      </c>
      <c r="M16" s="48" t="s">
        <v>360</v>
      </c>
      <c r="N16" s="16"/>
      <c r="O16" s="16"/>
      <c r="P16" s="16"/>
      <c r="Q16" s="16"/>
      <c r="R16" s="16"/>
      <c r="S16" s="16"/>
      <c r="T16" s="17" t="str">
        <f t="shared" si="2"/>
        <v/>
      </c>
    </row>
    <row r="17" ht="94.5" customHeight="1">
      <c r="A17" s="48" t="s">
        <v>109</v>
      </c>
      <c r="B17" s="48" t="str">
        <f t="shared" si="1"/>
        <v>SMP-PC-0016-26</v>
      </c>
      <c r="C17" s="48" t="s">
        <v>374</v>
      </c>
      <c r="D17" s="48" t="s">
        <v>358</v>
      </c>
      <c r="E17" s="48" t="s">
        <v>354</v>
      </c>
      <c r="F17" s="48" t="s">
        <v>29</v>
      </c>
      <c r="G17" s="48" t="s">
        <v>49</v>
      </c>
      <c r="H17" s="48" t="s">
        <v>28</v>
      </c>
      <c r="I17" s="48" t="s">
        <v>28</v>
      </c>
      <c r="J17" s="48" t="s">
        <v>328</v>
      </c>
      <c r="K17" s="48" t="s">
        <v>359</v>
      </c>
      <c r="L17" s="48" t="s">
        <v>339</v>
      </c>
      <c r="M17" s="48" t="s">
        <v>360</v>
      </c>
      <c r="N17" s="16"/>
      <c r="O17" s="16"/>
      <c r="P17" s="16"/>
      <c r="Q17" s="16"/>
      <c r="R17" s="16"/>
      <c r="S17" s="16"/>
      <c r="T17" s="17" t="str">
        <f t="shared" si="2"/>
        <v/>
      </c>
    </row>
    <row r="18" ht="94.5" customHeight="1">
      <c r="A18" s="48" t="s">
        <v>113</v>
      </c>
      <c r="B18" s="48" t="str">
        <f t="shared" si="1"/>
        <v>SMP-PC-0017-26</v>
      </c>
      <c r="C18" s="48" t="s">
        <v>377</v>
      </c>
      <c r="D18" s="48" t="s">
        <v>358</v>
      </c>
      <c r="E18" s="48" t="s">
        <v>354</v>
      </c>
      <c r="F18" s="48" t="s">
        <v>29</v>
      </c>
      <c r="G18" s="48" t="s">
        <v>49</v>
      </c>
      <c r="H18" s="48" t="s">
        <v>28</v>
      </c>
      <c r="I18" s="48" t="s">
        <v>28</v>
      </c>
      <c r="J18" s="48" t="s">
        <v>328</v>
      </c>
      <c r="K18" s="48" t="s">
        <v>359</v>
      </c>
      <c r="L18" s="48" t="s">
        <v>339</v>
      </c>
      <c r="M18" s="48" t="s">
        <v>360</v>
      </c>
      <c r="N18" s="16"/>
      <c r="O18" s="16"/>
      <c r="P18" s="16"/>
      <c r="Q18" s="16"/>
      <c r="R18" s="16"/>
      <c r="S18" s="16"/>
      <c r="T18" s="17" t="str">
        <f t="shared" si="2"/>
        <v/>
      </c>
    </row>
    <row r="19" ht="94.5" customHeight="1">
      <c r="A19" s="48" t="s">
        <v>117</v>
      </c>
      <c r="B19" s="48" t="str">
        <f t="shared" si="1"/>
        <v>SMP-PC-0018-26</v>
      </c>
      <c r="C19" s="48" t="s">
        <v>380</v>
      </c>
      <c r="D19" s="48" t="s">
        <v>358</v>
      </c>
      <c r="E19" s="48" t="s">
        <v>354</v>
      </c>
      <c r="F19" s="48" t="s">
        <v>29</v>
      </c>
      <c r="G19" s="48" t="s">
        <v>49</v>
      </c>
      <c r="H19" s="48" t="s">
        <v>28</v>
      </c>
      <c r="I19" s="48" t="s">
        <v>28</v>
      </c>
      <c r="J19" s="48" t="s">
        <v>328</v>
      </c>
      <c r="K19" s="48" t="s">
        <v>359</v>
      </c>
      <c r="L19" s="48" t="s">
        <v>339</v>
      </c>
      <c r="M19" s="48" t="s">
        <v>360</v>
      </c>
      <c r="N19" s="16"/>
      <c r="O19" s="16"/>
      <c r="P19" s="16"/>
      <c r="Q19" s="16"/>
      <c r="R19" s="16"/>
      <c r="S19" s="16"/>
      <c r="T19" s="17" t="str">
        <f t="shared" si="2"/>
        <v/>
      </c>
    </row>
    <row r="20" ht="94.5" customHeight="1">
      <c r="A20" s="48" t="s">
        <v>124</v>
      </c>
      <c r="B20" s="48" t="str">
        <f t="shared" si="1"/>
        <v>SMP-PC-0019-26</v>
      </c>
      <c r="C20" s="48" t="s">
        <v>372</v>
      </c>
      <c r="D20" s="48" t="s">
        <v>358</v>
      </c>
      <c r="E20" s="48" t="s">
        <v>354</v>
      </c>
      <c r="F20" s="48" t="s">
        <v>29</v>
      </c>
      <c r="G20" s="48" t="s">
        <v>350</v>
      </c>
      <c r="H20" s="48" t="s">
        <v>28</v>
      </c>
      <c r="I20" s="48" t="s">
        <v>28</v>
      </c>
      <c r="J20" s="48" t="s">
        <v>328</v>
      </c>
      <c r="K20" s="48" t="s">
        <v>359</v>
      </c>
      <c r="L20" s="48" t="s">
        <v>339</v>
      </c>
      <c r="M20" s="48" t="s">
        <v>360</v>
      </c>
      <c r="N20" s="16"/>
      <c r="O20" s="16"/>
      <c r="P20" s="16"/>
      <c r="Q20" s="16"/>
      <c r="R20" s="16"/>
      <c r="S20" s="16"/>
      <c r="T20" s="17" t="str">
        <f t="shared" si="2"/>
        <v/>
      </c>
    </row>
    <row r="21" ht="94.5" customHeight="1">
      <c r="A21" s="48" t="s">
        <v>126</v>
      </c>
      <c r="B21" s="48" t="str">
        <f t="shared" si="1"/>
        <v>SMP-PC-0020-26</v>
      </c>
      <c r="C21" s="48" t="s">
        <v>384</v>
      </c>
      <c r="D21" s="48" t="s">
        <v>358</v>
      </c>
      <c r="E21" s="48" t="s">
        <v>354</v>
      </c>
      <c r="F21" s="48" t="s">
        <v>29</v>
      </c>
      <c r="G21" s="48" t="s">
        <v>350</v>
      </c>
      <c r="H21" s="48" t="s">
        <v>28</v>
      </c>
      <c r="I21" s="48" t="s">
        <v>28</v>
      </c>
      <c r="J21" s="48" t="s">
        <v>328</v>
      </c>
      <c r="K21" s="48" t="s">
        <v>359</v>
      </c>
      <c r="L21" s="48" t="s">
        <v>339</v>
      </c>
      <c r="M21" s="48" t="s">
        <v>360</v>
      </c>
      <c r="N21" s="16"/>
      <c r="O21" s="16"/>
      <c r="P21" s="16"/>
      <c r="Q21" s="16"/>
      <c r="R21" s="16"/>
      <c r="S21" s="16"/>
      <c r="T21" s="17" t="str">
        <f t="shared" si="2"/>
        <v/>
      </c>
    </row>
    <row r="22" ht="94.5" customHeight="1">
      <c r="A22" s="48" t="s">
        <v>129</v>
      </c>
      <c r="B22" s="48" t="str">
        <f t="shared" si="1"/>
        <v>SMP-PC-0021-26</v>
      </c>
      <c r="C22" s="48" t="s">
        <v>386</v>
      </c>
      <c r="D22" s="48" t="s">
        <v>358</v>
      </c>
      <c r="E22" s="48" t="s">
        <v>354</v>
      </c>
      <c r="F22" s="48" t="s">
        <v>29</v>
      </c>
      <c r="G22" s="48" t="s">
        <v>350</v>
      </c>
      <c r="H22" s="48" t="s">
        <v>28</v>
      </c>
      <c r="I22" s="48" t="s">
        <v>28</v>
      </c>
      <c r="J22" s="48" t="s">
        <v>328</v>
      </c>
      <c r="K22" s="48" t="s">
        <v>359</v>
      </c>
      <c r="L22" s="48" t="s">
        <v>339</v>
      </c>
      <c r="M22" s="48" t="s">
        <v>360</v>
      </c>
      <c r="N22" s="16"/>
      <c r="O22" s="16"/>
      <c r="P22" s="16"/>
      <c r="Q22" s="16"/>
      <c r="R22" s="16"/>
      <c r="S22" s="16"/>
      <c r="T22" s="17" t="str">
        <f t="shared" si="2"/>
        <v/>
      </c>
    </row>
    <row r="23" ht="94.5" customHeight="1">
      <c r="A23" s="48" t="s">
        <v>136</v>
      </c>
      <c r="B23" s="48" t="str">
        <f t="shared" si="1"/>
        <v>SMP-PC-0022-26</v>
      </c>
      <c r="C23" s="48" t="s">
        <v>388</v>
      </c>
      <c r="D23" s="48" t="s">
        <v>130</v>
      </c>
      <c r="E23" s="48" t="s">
        <v>48</v>
      </c>
      <c r="F23" s="48" t="s">
        <v>29</v>
      </c>
      <c r="G23" s="48" t="s">
        <v>26</v>
      </c>
      <c r="H23" s="48" t="s">
        <v>28</v>
      </c>
      <c r="I23" s="48" t="s">
        <v>28</v>
      </c>
      <c r="J23" s="48" t="s">
        <v>328</v>
      </c>
      <c r="K23" s="48" t="s">
        <v>359</v>
      </c>
      <c r="L23" s="48" t="s">
        <v>36</v>
      </c>
      <c r="M23" s="48" t="s">
        <v>37</v>
      </c>
      <c r="N23" s="16"/>
      <c r="O23" s="16"/>
      <c r="P23" s="16"/>
      <c r="Q23" s="16"/>
      <c r="R23" s="16"/>
      <c r="S23" s="16"/>
      <c r="T23" s="17" t="str">
        <f t="shared" si="2"/>
        <v/>
      </c>
    </row>
    <row r="24" ht="94.5" customHeight="1">
      <c r="A24" s="48" t="s">
        <v>140</v>
      </c>
      <c r="B24" s="48" t="str">
        <f t="shared" si="1"/>
        <v>SMP-PC-0023-26</v>
      </c>
      <c r="C24" s="48" t="s">
        <v>389</v>
      </c>
      <c r="D24" s="48" t="s">
        <v>130</v>
      </c>
      <c r="E24" s="48" t="s">
        <v>354</v>
      </c>
      <c r="F24" s="48" t="s">
        <v>29</v>
      </c>
      <c r="G24" s="48" t="s">
        <v>350</v>
      </c>
      <c r="H24" s="48" t="s">
        <v>28</v>
      </c>
      <c r="I24" s="48" t="s">
        <v>28</v>
      </c>
      <c r="J24" s="48" t="s">
        <v>328</v>
      </c>
      <c r="K24" s="48" t="s">
        <v>359</v>
      </c>
      <c r="L24" s="48" t="s">
        <v>339</v>
      </c>
      <c r="M24" s="48" t="s">
        <v>360</v>
      </c>
      <c r="N24" s="16"/>
      <c r="O24" s="16"/>
      <c r="P24" s="16"/>
      <c r="Q24" s="16"/>
      <c r="R24" s="16"/>
      <c r="S24" s="16"/>
      <c r="T24" s="17" t="str">
        <f t="shared" si="2"/>
        <v/>
      </c>
    </row>
    <row r="25" ht="94.5" customHeight="1">
      <c r="A25" s="48" t="s">
        <v>153</v>
      </c>
      <c r="B25" s="48" t="str">
        <f t="shared" si="1"/>
        <v>SMP-PC-0024-26</v>
      </c>
      <c r="C25" s="48" t="s">
        <v>390</v>
      </c>
      <c r="D25" s="48" t="s">
        <v>358</v>
      </c>
      <c r="E25" s="48" t="s">
        <v>354</v>
      </c>
      <c r="F25" s="48" t="s">
        <v>29</v>
      </c>
      <c r="G25" s="48" t="s">
        <v>350</v>
      </c>
      <c r="H25" s="48" t="s">
        <v>28</v>
      </c>
      <c r="I25" s="48" t="s">
        <v>28</v>
      </c>
      <c r="J25" s="48" t="s">
        <v>328</v>
      </c>
      <c r="K25" s="48" t="s">
        <v>359</v>
      </c>
      <c r="L25" s="48" t="s">
        <v>339</v>
      </c>
      <c r="M25" s="48" t="s">
        <v>360</v>
      </c>
      <c r="N25" s="16"/>
      <c r="O25" s="16"/>
      <c r="P25" s="16"/>
      <c r="Q25" s="16"/>
      <c r="R25" s="16"/>
      <c r="S25" s="16"/>
      <c r="T25" s="17" t="str">
        <f t="shared" si="2"/>
        <v/>
      </c>
    </row>
    <row r="26" ht="94.5" customHeight="1">
      <c r="A26" s="50" t="s">
        <v>161</v>
      </c>
      <c r="B26" s="50" t="str">
        <f t="shared" si="1"/>
        <v>SMP-PC-0025-26</v>
      </c>
      <c r="C26" s="50" t="s">
        <v>21</v>
      </c>
      <c r="D26" s="50" t="s">
        <v>130</v>
      </c>
      <c r="E26" s="50" t="s">
        <v>354</v>
      </c>
      <c r="F26" s="50" t="s">
        <v>29</v>
      </c>
      <c r="G26" s="50" t="s">
        <v>26</v>
      </c>
      <c r="H26" s="50" t="s">
        <v>28</v>
      </c>
      <c r="I26" s="50" t="s">
        <v>28</v>
      </c>
      <c r="J26" s="50" t="s">
        <v>328</v>
      </c>
      <c r="K26" s="50" t="s">
        <v>359</v>
      </c>
      <c r="L26" s="50" t="s">
        <v>347</v>
      </c>
      <c r="M26" s="50" t="s">
        <v>37</v>
      </c>
      <c r="N26" s="16"/>
      <c r="O26" s="16"/>
      <c r="P26" s="16"/>
      <c r="Q26" s="16"/>
      <c r="R26" s="16"/>
      <c r="S26" s="16"/>
      <c r="T26" s="17" t="str">
        <f t="shared" si="2"/>
        <v/>
      </c>
    </row>
    <row r="27" ht="94.5" customHeight="1">
      <c r="A27" s="50" t="s">
        <v>164</v>
      </c>
      <c r="B27" s="50" t="str">
        <f t="shared" si="1"/>
        <v>SMP-PC-0026-26</v>
      </c>
      <c r="C27" s="50" t="s">
        <v>21</v>
      </c>
      <c r="D27" s="50" t="s">
        <v>130</v>
      </c>
      <c r="E27" s="50" t="s">
        <v>354</v>
      </c>
      <c r="F27" s="50" t="s">
        <v>29</v>
      </c>
      <c r="G27" s="50" t="s">
        <v>26</v>
      </c>
      <c r="H27" s="50" t="s">
        <v>28</v>
      </c>
      <c r="I27" s="50" t="s">
        <v>28</v>
      </c>
      <c r="J27" s="50" t="s">
        <v>328</v>
      </c>
      <c r="K27" s="50" t="s">
        <v>359</v>
      </c>
      <c r="L27" s="50" t="s">
        <v>347</v>
      </c>
      <c r="M27" s="50" t="s">
        <v>37</v>
      </c>
      <c r="N27" s="16"/>
      <c r="O27" s="16"/>
      <c r="P27" s="16"/>
      <c r="Q27" s="16"/>
      <c r="R27" s="16"/>
      <c r="S27" s="16"/>
      <c r="T27" s="17" t="str">
        <f t="shared" si="2"/>
        <v/>
      </c>
    </row>
    <row r="28" ht="94.5" customHeight="1">
      <c r="A28" s="48" t="s">
        <v>170</v>
      </c>
      <c r="B28" s="48" t="str">
        <f t="shared" si="1"/>
        <v>SMP-PC-0027-26</v>
      </c>
      <c r="C28" s="48" t="s">
        <v>391</v>
      </c>
      <c r="D28" s="48" t="s">
        <v>130</v>
      </c>
      <c r="E28" s="48" t="s">
        <v>48</v>
      </c>
      <c r="F28" s="48" t="s">
        <v>29</v>
      </c>
      <c r="G28" s="48" t="s">
        <v>26</v>
      </c>
      <c r="H28" s="48" t="s">
        <v>28</v>
      </c>
      <c r="I28" s="48" t="s">
        <v>28</v>
      </c>
      <c r="J28" s="48" t="s">
        <v>261</v>
      </c>
      <c r="K28" s="48" t="s">
        <v>359</v>
      </c>
      <c r="L28" s="48" t="s">
        <v>36</v>
      </c>
      <c r="M28" s="48" t="s">
        <v>37</v>
      </c>
      <c r="N28" s="16"/>
      <c r="O28" s="16"/>
      <c r="P28" s="16"/>
      <c r="Q28" s="16"/>
      <c r="R28" s="16"/>
      <c r="S28" s="16"/>
      <c r="T28" s="17" t="str">
        <f t="shared" si="2"/>
        <v/>
      </c>
    </row>
    <row r="29" ht="94.5" customHeight="1">
      <c r="A29" s="48" t="s">
        <v>176</v>
      </c>
      <c r="B29" s="48" t="str">
        <f t="shared" si="1"/>
        <v>SMP-PC-0028-26</v>
      </c>
      <c r="C29" s="48" t="s">
        <v>392</v>
      </c>
      <c r="D29" s="48" t="s">
        <v>358</v>
      </c>
      <c r="E29" s="48" t="s">
        <v>354</v>
      </c>
      <c r="F29" s="48" t="s">
        <v>29</v>
      </c>
      <c r="G29" s="48" t="s">
        <v>350</v>
      </c>
      <c r="H29" s="48" t="s">
        <v>28</v>
      </c>
      <c r="I29" s="48" t="s">
        <v>28</v>
      </c>
      <c r="J29" s="48" t="s">
        <v>328</v>
      </c>
      <c r="K29" s="48" t="s">
        <v>359</v>
      </c>
      <c r="L29" s="48" t="s">
        <v>339</v>
      </c>
      <c r="M29" s="48" t="s">
        <v>360</v>
      </c>
      <c r="N29" s="16"/>
      <c r="O29" s="16"/>
      <c r="P29" s="16"/>
      <c r="Q29" s="16"/>
      <c r="R29" s="16"/>
      <c r="S29" s="16"/>
      <c r="T29" s="17" t="str">
        <f t="shared" si="2"/>
        <v/>
      </c>
    </row>
    <row r="30" ht="94.5" customHeight="1">
      <c r="A30" s="48" t="s">
        <v>181</v>
      </c>
      <c r="B30" s="48" t="str">
        <f t="shared" si="1"/>
        <v>SMP-PC-0029-26</v>
      </c>
      <c r="C30" s="48" t="s">
        <v>393</v>
      </c>
      <c r="D30" s="48" t="s">
        <v>130</v>
      </c>
      <c r="E30" s="48" t="s">
        <v>48</v>
      </c>
      <c r="F30" s="48" t="s">
        <v>29</v>
      </c>
      <c r="G30" s="48" t="s">
        <v>26</v>
      </c>
      <c r="H30" s="48" t="s">
        <v>28</v>
      </c>
      <c r="I30" s="48" t="s">
        <v>28</v>
      </c>
      <c r="J30" s="48" t="s">
        <v>328</v>
      </c>
      <c r="K30" s="48" t="s">
        <v>394</v>
      </c>
      <c r="L30" s="48" t="s">
        <v>36</v>
      </c>
      <c r="M30" s="48" t="s">
        <v>395</v>
      </c>
      <c r="N30" s="16"/>
      <c r="O30" s="16"/>
      <c r="P30" s="16"/>
      <c r="Q30" s="16"/>
      <c r="R30" s="16"/>
      <c r="S30" s="16"/>
      <c r="T30" s="17" t="str">
        <f t="shared" si="2"/>
        <v/>
      </c>
    </row>
    <row r="31" ht="94.5" customHeight="1">
      <c r="A31" s="48" t="s">
        <v>186</v>
      </c>
      <c r="B31" s="48" t="str">
        <f t="shared" si="1"/>
        <v>SMP-PC-0030-26</v>
      </c>
      <c r="C31" s="48" t="s">
        <v>396</v>
      </c>
      <c r="D31" s="48" t="s">
        <v>130</v>
      </c>
      <c r="E31" s="48" t="s">
        <v>48</v>
      </c>
      <c r="F31" s="48" t="s">
        <v>29</v>
      </c>
      <c r="G31" s="48" t="s">
        <v>26</v>
      </c>
      <c r="H31" s="48" t="s">
        <v>28</v>
      </c>
      <c r="I31" s="48" t="s">
        <v>28</v>
      </c>
      <c r="J31" s="48" t="s">
        <v>328</v>
      </c>
      <c r="K31" s="48" t="s">
        <v>394</v>
      </c>
      <c r="L31" s="48" t="s">
        <v>36</v>
      </c>
      <c r="M31" s="48" t="s">
        <v>395</v>
      </c>
      <c r="N31" s="16"/>
      <c r="O31" s="16"/>
      <c r="P31" s="16"/>
      <c r="Q31" s="16"/>
      <c r="R31" s="16"/>
      <c r="S31" s="16"/>
      <c r="T31" s="17" t="str">
        <f t="shared" si="2"/>
        <v/>
      </c>
    </row>
    <row r="32" ht="94.5" customHeight="1">
      <c r="A32" s="50" t="s">
        <v>189</v>
      </c>
      <c r="B32" s="50" t="str">
        <f t="shared" si="1"/>
        <v>SMP-PC-0031-26</v>
      </c>
      <c r="C32" s="50" t="s">
        <v>21</v>
      </c>
      <c r="D32" s="50" t="s">
        <v>274</v>
      </c>
      <c r="E32" s="50" t="s">
        <v>147</v>
      </c>
      <c r="F32" s="50" t="s">
        <v>25</v>
      </c>
      <c r="G32" s="50" t="s">
        <v>26</v>
      </c>
      <c r="H32" s="50" t="s">
        <v>28</v>
      </c>
      <c r="I32" s="50" t="s">
        <v>28</v>
      </c>
      <c r="J32" s="50" t="s">
        <v>397</v>
      </c>
      <c r="K32" s="50" t="s">
        <v>398</v>
      </c>
      <c r="L32" s="50" t="s">
        <v>399</v>
      </c>
      <c r="M32" s="50" t="s">
        <v>400</v>
      </c>
      <c r="N32" s="16"/>
      <c r="O32" s="16"/>
      <c r="P32" s="16"/>
      <c r="Q32" s="16"/>
      <c r="R32" s="16"/>
      <c r="S32" s="16"/>
      <c r="T32" s="17" t="str">
        <f t="shared" si="2"/>
        <v/>
      </c>
    </row>
    <row r="33">
      <c r="T33" s="2"/>
    </row>
    <row r="34">
      <c r="T34" s="2"/>
    </row>
    <row r="35">
      <c r="T35" s="2"/>
    </row>
    <row r="36">
      <c r="T36" s="2"/>
    </row>
    <row r="37">
      <c r="T37" s="2"/>
    </row>
    <row r="38">
      <c r="T38" s="2"/>
    </row>
    <row r="39">
      <c r="T39" s="2"/>
    </row>
    <row r="40">
      <c r="T40" s="2"/>
    </row>
    <row r="41">
      <c r="T41" s="2"/>
    </row>
    <row r="42">
      <c r="T42" s="2"/>
    </row>
    <row r="43">
      <c r="T43" s="2"/>
    </row>
    <row r="44">
      <c r="T44" s="2"/>
    </row>
    <row r="45">
      <c r="T45" s="2"/>
    </row>
    <row r="46">
      <c r="T46" s="2"/>
    </row>
    <row r="47">
      <c r="T47" s="2"/>
    </row>
    <row r="48">
      <c r="T48" s="2"/>
    </row>
    <row r="49">
      <c r="T49" s="2"/>
    </row>
    <row r="50">
      <c r="T50" s="2"/>
    </row>
    <row r="51">
      <c r="T51" s="2"/>
    </row>
    <row r="52">
      <c r="T52" s="2"/>
    </row>
    <row r="53">
      <c r="T53" s="2"/>
    </row>
    <row r="54">
      <c r="T54" s="2"/>
    </row>
    <row r="55">
      <c r="T55" s="2"/>
    </row>
    <row r="56">
      <c r="T56" s="2"/>
    </row>
    <row r="57">
      <c r="T57" s="2"/>
    </row>
    <row r="58">
      <c r="T58" s="2"/>
    </row>
    <row r="59">
      <c r="T59" s="2"/>
    </row>
    <row r="60">
      <c r="T60" s="2"/>
    </row>
    <row r="61">
      <c r="T61" s="2"/>
    </row>
    <row r="62">
      <c r="T62" s="2"/>
    </row>
    <row r="63">
      <c r="T63" s="2"/>
    </row>
    <row r="64">
      <c r="T64" s="2"/>
    </row>
    <row r="65">
      <c r="T65" s="2"/>
    </row>
    <row r="66">
      <c r="T66" s="2"/>
    </row>
    <row r="67">
      <c r="T67" s="2"/>
    </row>
    <row r="68">
      <c r="T68" s="2"/>
    </row>
    <row r="69">
      <c r="T69" s="2"/>
    </row>
    <row r="70">
      <c r="T70" s="2"/>
    </row>
    <row r="71">
      <c r="T71" s="2"/>
    </row>
    <row r="72">
      <c r="T72" s="2"/>
    </row>
    <row r="73">
      <c r="T73" s="2"/>
    </row>
    <row r="74">
      <c r="T74" s="2"/>
    </row>
    <row r="75">
      <c r="T75" s="2"/>
    </row>
    <row r="76">
      <c r="T76" s="2"/>
    </row>
    <row r="77">
      <c r="T77" s="2"/>
    </row>
    <row r="78">
      <c r="T78" s="2"/>
    </row>
    <row r="79">
      <c r="T79" s="2"/>
    </row>
    <row r="80">
      <c r="T80" s="2"/>
    </row>
    <row r="81">
      <c r="T81" s="2"/>
    </row>
    <row r="82">
      <c r="T82" s="2"/>
    </row>
    <row r="83">
      <c r="T83" s="2"/>
    </row>
    <row r="84">
      <c r="T84" s="2"/>
    </row>
    <row r="85">
      <c r="T85" s="2"/>
    </row>
    <row r="86">
      <c r="T86" s="2"/>
    </row>
    <row r="87">
      <c r="T87" s="2"/>
    </row>
    <row r="88">
      <c r="T88" s="2"/>
    </row>
    <row r="89">
      <c r="T89" s="2"/>
    </row>
    <row r="90">
      <c r="T90" s="2"/>
    </row>
    <row r="91">
      <c r="T91" s="2"/>
    </row>
    <row r="92">
      <c r="T92" s="2"/>
    </row>
    <row r="93">
      <c r="T93" s="2"/>
    </row>
    <row r="94">
      <c r="T94" s="2"/>
    </row>
    <row r="95">
      <c r="T95" s="2"/>
    </row>
    <row r="96">
      <c r="T96" s="2"/>
    </row>
    <row r="97">
      <c r="T97" s="2"/>
    </row>
    <row r="98">
      <c r="T98" s="2"/>
    </row>
    <row r="99">
      <c r="T99" s="2"/>
    </row>
    <row r="100">
      <c r="T100" s="2"/>
    </row>
    <row r="101">
      <c r="T101" s="2"/>
    </row>
    <row r="102">
      <c r="T102" s="2"/>
    </row>
    <row r="103">
      <c r="T103" s="2"/>
    </row>
    <row r="104">
      <c r="T104" s="2"/>
    </row>
    <row r="105">
      <c r="T105" s="2"/>
    </row>
    <row r="106">
      <c r="T106" s="2"/>
    </row>
    <row r="107">
      <c r="T107" s="2"/>
    </row>
    <row r="108">
      <c r="T108" s="2"/>
    </row>
    <row r="109">
      <c r="T109" s="2"/>
    </row>
    <row r="110">
      <c r="T110" s="2"/>
    </row>
    <row r="111">
      <c r="T111" s="2"/>
    </row>
    <row r="112">
      <c r="T112" s="2"/>
    </row>
    <row r="113">
      <c r="T113" s="2"/>
    </row>
    <row r="114">
      <c r="T114" s="2"/>
    </row>
    <row r="115">
      <c r="T115" s="2"/>
    </row>
    <row r="116">
      <c r="T116" s="2"/>
    </row>
    <row r="117">
      <c r="T117" s="2"/>
    </row>
    <row r="118">
      <c r="T118" s="2"/>
    </row>
    <row r="119">
      <c r="T119" s="2"/>
    </row>
    <row r="120">
      <c r="T120" s="2"/>
    </row>
    <row r="121">
      <c r="T121" s="2"/>
    </row>
    <row r="122">
      <c r="T122" s="2"/>
    </row>
    <row r="123">
      <c r="T123" s="2"/>
    </row>
    <row r="124">
      <c r="T124" s="2"/>
    </row>
    <row r="125">
      <c r="T125" s="2"/>
    </row>
    <row r="126">
      <c r="T126" s="2"/>
    </row>
    <row r="127">
      <c r="T127" s="2"/>
    </row>
    <row r="128">
      <c r="T128" s="2"/>
    </row>
    <row r="129">
      <c r="T129" s="2"/>
    </row>
    <row r="130">
      <c r="T130" s="2"/>
    </row>
    <row r="131">
      <c r="T131" s="2"/>
    </row>
    <row r="132">
      <c r="T132" s="2"/>
    </row>
    <row r="133">
      <c r="T133" s="2"/>
    </row>
    <row r="134">
      <c r="T134" s="2"/>
    </row>
    <row r="135">
      <c r="T135" s="2"/>
    </row>
    <row r="136">
      <c r="T136" s="2"/>
    </row>
    <row r="137">
      <c r="T137" s="2"/>
    </row>
    <row r="138">
      <c r="T138" s="2"/>
    </row>
    <row r="139">
      <c r="T139" s="2"/>
    </row>
    <row r="140">
      <c r="T140" s="2"/>
    </row>
    <row r="141">
      <c r="T141" s="2"/>
    </row>
    <row r="142">
      <c r="T142" s="2"/>
    </row>
    <row r="143">
      <c r="T143" s="2"/>
    </row>
    <row r="144">
      <c r="T144" s="2"/>
    </row>
    <row r="145">
      <c r="T145" s="2"/>
    </row>
    <row r="146">
      <c r="T146" s="2"/>
    </row>
    <row r="147">
      <c r="T147" s="2"/>
    </row>
    <row r="148">
      <c r="T148" s="2"/>
    </row>
    <row r="149">
      <c r="T149" s="2"/>
    </row>
    <row r="150">
      <c r="T150" s="2"/>
    </row>
    <row r="151">
      <c r="T151" s="2"/>
    </row>
    <row r="152">
      <c r="T152" s="2"/>
    </row>
    <row r="153">
      <c r="T153" s="2"/>
    </row>
    <row r="154">
      <c r="T154" s="2"/>
    </row>
    <row r="155">
      <c r="T155" s="2"/>
    </row>
    <row r="156">
      <c r="T156" s="2"/>
    </row>
    <row r="157">
      <c r="T157" s="2"/>
    </row>
    <row r="158">
      <c r="T158" s="2"/>
    </row>
    <row r="159">
      <c r="T159" s="2"/>
    </row>
    <row r="160">
      <c r="T160" s="2"/>
    </row>
    <row r="161">
      <c r="T161" s="2"/>
    </row>
    <row r="162">
      <c r="T162" s="2"/>
    </row>
    <row r="163">
      <c r="T163" s="2"/>
    </row>
    <row r="164">
      <c r="T164" s="2"/>
    </row>
    <row r="165">
      <c r="T165" s="2"/>
    </row>
    <row r="166">
      <c r="T166" s="2"/>
    </row>
    <row r="167">
      <c r="T167" s="2"/>
    </row>
    <row r="168">
      <c r="T168" s="2"/>
    </row>
    <row r="169">
      <c r="T169" s="2"/>
    </row>
    <row r="170">
      <c r="T170" s="2"/>
    </row>
    <row r="171">
      <c r="T171" s="2"/>
    </row>
    <row r="172">
      <c r="T172" s="2"/>
    </row>
    <row r="173">
      <c r="T173" s="2"/>
    </row>
    <row r="174">
      <c r="T174" s="2"/>
    </row>
    <row r="175">
      <c r="T175" s="2"/>
    </row>
    <row r="176">
      <c r="T176" s="2"/>
    </row>
    <row r="177">
      <c r="T177" s="2"/>
    </row>
    <row r="178">
      <c r="T178" s="2"/>
    </row>
    <row r="179">
      <c r="T179" s="2"/>
    </row>
    <row r="180">
      <c r="T180" s="2"/>
    </row>
    <row r="181">
      <c r="T181" s="2"/>
    </row>
    <row r="182">
      <c r="T182" s="2"/>
    </row>
    <row r="183">
      <c r="T183" s="2"/>
    </row>
    <row r="184">
      <c r="T184" s="2"/>
    </row>
    <row r="185">
      <c r="T185" s="2"/>
    </row>
    <row r="186">
      <c r="T186" s="2"/>
    </row>
    <row r="187">
      <c r="T187" s="2"/>
    </row>
    <row r="188">
      <c r="T188" s="2"/>
    </row>
    <row r="189">
      <c r="T189" s="2"/>
    </row>
    <row r="190">
      <c r="T190" s="2"/>
    </row>
    <row r="191">
      <c r="T191" s="2"/>
    </row>
    <row r="192">
      <c r="T192" s="2"/>
    </row>
    <row r="193">
      <c r="T193" s="2"/>
    </row>
    <row r="194">
      <c r="T194" s="2"/>
    </row>
    <row r="195">
      <c r="T195" s="2"/>
    </row>
    <row r="196">
      <c r="T196" s="2"/>
    </row>
    <row r="197">
      <c r="T197" s="2"/>
    </row>
    <row r="198">
      <c r="T198" s="2"/>
    </row>
    <row r="199">
      <c r="T199" s="2"/>
    </row>
    <row r="200">
      <c r="T200" s="2"/>
    </row>
    <row r="201">
      <c r="T201" s="2"/>
    </row>
    <row r="202">
      <c r="T202" s="2"/>
    </row>
    <row r="203">
      <c r="T203" s="2"/>
    </row>
    <row r="204">
      <c r="T204" s="2"/>
    </row>
    <row r="205">
      <c r="T205" s="2"/>
    </row>
    <row r="206">
      <c r="T206" s="2"/>
    </row>
    <row r="207">
      <c r="T207" s="2"/>
    </row>
    <row r="208">
      <c r="T208" s="2"/>
    </row>
    <row r="209">
      <c r="T209" s="2"/>
    </row>
    <row r="210">
      <c r="T210" s="2"/>
    </row>
    <row r="211">
      <c r="T211" s="2"/>
    </row>
    <row r="212">
      <c r="T212" s="2"/>
    </row>
    <row r="213">
      <c r="T213" s="2"/>
    </row>
    <row r="214">
      <c r="T214" s="2"/>
    </row>
    <row r="215">
      <c r="T215" s="2"/>
    </row>
    <row r="216">
      <c r="T216" s="2"/>
    </row>
    <row r="217">
      <c r="T217" s="2"/>
    </row>
    <row r="218">
      <c r="T218" s="2"/>
    </row>
    <row r="219">
      <c r="T219" s="2"/>
    </row>
    <row r="220">
      <c r="T220" s="2"/>
    </row>
    <row r="221">
      <c r="T221" s="2"/>
    </row>
    <row r="222">
      <c r="T222" s="2"/>
    </row>
    <row r="223">
      <c r="T223" s="2"/>
    </row>
    <row r="224">
      <c r="T224" s="2"/>
    </row>
    <row r="225">
      <c r="T225" s="2"/>
    </row>
    <row r="226">
      <c r="T226" s="2"/>
    </row>
    <row r="227">
      <c r="T227" s="2"/>
    </row>
    <row r="228">
      <c r="T228" s="2"/>
    </row>
    <row r="229">
      <c r="T229" s="2"/>
    </row>
    <row r="230">
      <c r="T230" s="2"/>
    </row>
    <row r="231">
      <c r="T231" s="2"/>
    </row>
    <row r="232">
      <c r="T232" s="2"/>
    </row>
    <row r="233">
      <c r="T233" s="2"/>
    </row>
    <row r="234">
      <c r="T234" s="2"/>
    </row>
    <row r="235">
      <c r="T235" s="2"/>
    </row>
    <row r="236">
      <c r="T236" s="2"/>
    </row>
    <row r="237">
      <c r="T237" s="2"/>
    </row>
    <row r="238">
      <c r="T238" s="2"/>
    </row>
    <row r="239">
      <c r="T239" s="2"/>
    </row>
    <row r="240">
      <c r="T240" s="2"/>
    </row>
    <row r="241">
      <c r="T241" s="2"/>
    </row>
    <row r="242">
      <c r="T242" s="2"/>
    </row>
    <row r="243">
      <c r="T243" s="2"/>
    </row>
    <row r="244">
      <c r="T244" s="2"/>
    </row>
    <row r="245">
      <c r="T245" s="2"/>
    </row>
    <row r="246">
      <c r="T246" s="2"/>
    </row>
    <row r="247">
      <c r="T247" s="2"/>
    </row>
    <row r="248">
      <c r="T248" s="2"/>
    </row>
    <row r="249">
      <c r="T249" s="2"/>
    </row>
    <row r="250">
      <c r="T250" s="2"/>
    </row>
    <row r="251">
      <c r="T251" s="2"/>
    </row>
    <row r="252">
      <c r="T252" s="2"/>
    </row>
    <row r="253">
      <c r="T253" s="2"/>
    </row>
    <row r="254">
      <c r="T254" s="2"/>
    </row>
    <row r="255">
      <c r="T255" s="2"/>
    </row>
    <row r="256">
      <c r="T256" s="2"/>
    </row>
    <row r="257">
      <c r="T257" s="2"/>
    </row>
    <row r="258">
      <c r="T258" s="2"/>
    </row>
    <row r="259">
      <c r="T259" s="2"/>
    </row>
    <row r="260">
      <c r="T260" s="2"/>
    </row>
    <row r="261">
      <c r="T261" s="2"/>
    </row>
    <row r="262">
      <c r="T262" s="2"/>
    </row>
    <row r="263">
      <c r="T263" s="2"/>
    </row>
    <row r="264">
      <c r="T264" s="2"/>
    </row>
    <row r="265">
      <c r="T265" s="2"/>
    </row>
    <row r="266">
      <c r="T266" s="2"/>
    </row>
    <row r="267">
      <c r="T267" s="2"/>
    </row>
    <row r="268">
      <c r="T268" s="2"/>
    </row>
    <row r="269">
      <c r="T269" s="2"/>
    </row>
    <row r="270">
      <c r="T270" s="2"/>
    </row>
    <row r="271">
      <c r="T271" s="2"/>
    </row>
    <row r="272">
      <c r="T272" s="2"/>
    </row>
    <row r="273">
      <c r="T273" s="2"/>
    </row>
    <row r="274">
      <c r="T274" s="2"/>
    </row>
    <row r="275">
      <c r="T275" s="2"/>
    </row>
    <row r="276">
      <c r="T276" s="2"/>
    </row>
    <row r="277">
      <c r="T277" s="2"/>
    </row>
    <row r="278">
      <c r="T278" s="2"/>
    </row>
    <row r="279">
      <c r="T279" s="2"/>
    </row>
    <row r="280">
      <c r="T280" s="2"/>
    </row>
    <row r="281">
      <c r="T281" s="2"/>
    </row>
    <row r="282">
      <c r="T282" s="2"/>
    </row>
    <row r="283">
      <c r="T283" s="2"/>
    </row>
    <row r="284">
      <c r="T284" s="2"/>
    </row>
    <row r="285">
      <c r="T285" s="2"/>
    </row>
    <row r="286">
      <c r="T286" s="2"/>
    </row>
    <row r="287">
      <c r="T287" s="2"/>
    </row>
    <row r="288">
      <c r="T288" s="2"/>
    </row>
    <row r="289">
      <c r="T289" s="2"/>
    </row>
    <row r="290">
      <c r="T290" s="2"/>
    </row>
    <row r="291">
      <c r="T291" s="2"/>
    </row>
    <row r="292">
      <c r="T292" s="2"/>
    </row>
    <row r="293">
      <c r="T293" s="2"/>
    </row>
    <row r="294">
      <c r="T294" s="2"/>
    </row>
    <row r="295">
      <c r="T295" s="2"/>
    </row>
    <row r="296">
      <c r="T296" s="2"/>
    </row>
    <row r="297">
      <c r="T297" s="2"/>
    </row>
    <row r="298">
      <c r="T298" s="2"/>
    </row>
    <row r="299">
      <c r="T299" s="2"/>
    </row>
    <row r="300">
      <c r="T300" s="2"/>
    </row>
    <row r="301">
      <c r="T301" s="2"/>
    </row>
    <row r="302">
      <c r="T302" s="2"/>
    </row>
    <row r="303">
      <c r="T303" s="2"/>
    </row>
    <row r="304">
      <c r="T304" s="2"/>
    </row>
    <row r="305">
      <c r="T305" s="2"/>
    </row>
    <row r="306">
      <c r="T306" s="2"/>
    </row>
    <row r="307">
      <c r="T307" s="2"/>
    </row>
    <row r="308">
      <c r="T308" s="2"/>
    </row>
    <row r="309">
      <c r="T309" s="2"/>
    </row>
    <row r="310">
      <c r="T310" s="2"/>
    </row>
    <row r="311">
      <c r="T311" s="2"/>
    </row>
    <row r="312">
      <c r="T312" s="2"/>
    </row>
    <row r="313">
      <c r="T313" s="2"/>
    </row>
    <row r="314">
      <c r="T314" s="2"/>
    </row>
    <row r="315">
      <c r="T315" s="2"/>
    </row>
    <row r="316">
      <c r="T316" s="2"/>
    </row>
    <row r="317">
      <c r="T317" s="2"/>
    </row>
    <row r="318">
      <c r="T318" s="2"/>
    </row>
    <row r="319">
      <c r="T319" s="2"/>
    </row>
    <row r="320">
      <c r="T320" s="2"/>
    </row>
    <row r="321">
      <c r="T321" s="2"/>
    </row>
    <row r="322">
      <c r="T322" s="2"/>
    </row>
    <row r="323">
      <c r="T323" s="2"/>
    </row>
    <row r="324">
      <c r="T324" s="2"/>
    </row>
    <row r="325">
      <c r="T325" s="2"/>
    </row>
    <row r="326">
      <c r="T326" s="2"/>
    </row>
    <row r="327">
      <c r="T327" s="2"/>
    </row>
    <row r="328">
      <c r="T328" s="2"/>
    </row>
    <row r="329">
      <c r="T329" s="2"/>
    </row>
    <row r="330">
      <c r="T330" s="2"/>
    </row>
    <row r="331">
      <c r="T331" s="2"/>
    </row>
    <row r="332">
      <c r="T332" s="2"/>
    </row>
    <row r="333">
      <c r="T333" s="2"/>
    </row>
    <row r="334">
      <c r="T334" s="2"/>
    </row>
    <row r="335">
      <c r="T335" s="2"/>
    </row>
    <row r="336">
      <c r="T336" s="2"/>
    </row>
    <row r="337">
      <c r="T337" s="2"/>
    </row>
    <row r="338">
      <c r="T338" s="2"/>
    </row>
    <row r="339">
      <c r="T339" s="2"/>
    </row>
    <row r="340">
      <c r="T340" s="2"/>
    </row>
    <row r="341">
      <c r="T341" s="2"/>
    </row>
    <row r="342">
      <c r="T342" s="2"/>
    </row>
    <row r="343">
      <c r="T343" s="2"/>
    </row>
    <row r="344">
      <c r="T344" s="2"/>
    </row>
    <row r="345">
      <c r="T345" s="2"/>
    </row>
    <row r="346">
      <c r="T346" s="2"/>
    </row>
    <row r="347">
      <c r="T347" s="2"/>
    </row>
    <row r="348">
      <c r="T348" s="2"/>
    </row>
    <row r="349">
      <c r="T349" s="2"/>
    </row>
    <row r="350">
      <c r="T350" s="2"/>
    </row>
    <row r="351">
      <c r="T351" s="2"/>
    </row>
    <row r="352">
      <c r="T352" s="2"/>
    </row>
    <row r="353">
      <c r="T353" s="2"/>
    </row>
    <row r="354">
      <c r="T354" s="2"/>
    </row>
    <row r="355">
      <c r="T355" s="2"/>
    </row>
    <row r="356">
      <c r="T356" s="2"/>
    </row>
    <row r="357">
      <c r="T357" s="2"/>
    </row>
    <row r="358">
      <c r="T358" s="2"/>
    </row>
    <row r="359">
      <c r="T359" s="2"/>
    </row>
    <row r="360">
      <c r="T360" s="2"/>
    </row>
    <row r="361">
      <c r="T361" s="2"/>
    </row>
    <row r="362">
      <c r="T362" s="2"/>
    </row>
    <row r="363">
      <c r="T363" s="2"/>
    </row>
    <row r="364">
      <c r="T364" s="2"/>
    </row>
    <row r="365">
      <c r="T365" s="2"/>
    </row>
    <row r="366">
      <c r="T366" s="2"/>
    </row>
    <row r="367">
      <c r="T367" s="2"/>
    </row>
    <row r="368">
      <c r="T368" s="2"/>
    </row>
    <row r="369">
      <c r="T369" s="2"/>
    </row>
    <row r="370">
      <c r="T370" s="2"/>
    </row>
    <row r="371">
      <c r="T371" s="2"/>
    </row>
    <row r="372">
      <c r="T372" s="2"/>
    </row>
    <row r="373">
      <c r="T373" s="2"/>
    </row>
    <row r="374">
      <c r="T374" s="2"/>
    </row>
    <row r="375">
      <c r="T375" s="2"/>
    </row>
    <row r="376">
      <c r="T376" s="2"/>
    </row>
    <row r="377">
      <c r="T377" s="2"/>
    </row>
    <row r="378">
      <c r="T378" s="2"/>
    </row>
    <row r="379">
      <c r="T379" s="2"/>
    </row>
    <row r="380">
      <c r="T380" s="2"/>
    </row>
    <row r="381">
      <c r="T381" s="2"/>
    </row>
    <row r="382">
      <c r="T382" s="2"/>
    </row>
    <row r="383">
      <c r="T383" s="2"/>
    </row>
    <row r="384">
      <c r="T384" s="2"/>
    </row>
    <row r="385">
      <c r="T385" s="2"/>
    </row>
    <row r="386">
      <c r="T386" s="2"/>
    </row>
    <row r="387">
      <c r="T387" s="2"/>
    </row>
    <row r="388">
      <c r="T388" s="2"/>
    </row>
    <row r="389">
      <c r="T389" s="2"/>
    </row>
    <row r="390">
      <c r="T390" s="2"/>
    </row>
    <row r="391">
      <c r="T391" s="2"/>
    </row>
    <row r="392">
      <c r="T392" s="2"/>
    </row>
    <row r="393">
      <c r="T393" s="2"/>
    </row>
    <row r="394">
      <c r="T394" s="2"/>
    </row>
    <row r="395">
      <c r="T395" s="2"/>
    </row>
    <row r="396">
      <c r="T396" s="2"/>
    </row>
    <row r="397">
      <c r="T397" s="2"/>
    </row>
    <row r="398">
      <c r="T398" s="2"/>
    </row>
    <row r="399">
      <c r="T399" s="2"/>
    </row>
    <row r="400">
      <c r="T400" s="2"/>
    </row>
    <row r="401">
      <c r="T401" s="2"/>
    </row>
    <row r="402">
      <c r="T402" s="2"/>
    </row>
    <row r="403">
      <c r="T403" s="2"/>
    </row>
    <row r="404">
      <c r="T404" s="2"/>
    </row>
    <row r="405">
      <c r="T405" s="2"/>
    </row>
    <row r="406">
      <c r="T406" s="2"/>
    </row>
    <row r="407">
      <c r="T407" s="2"/>
    </row>
    <row r="408">
      <c r="T408" s="2"/>
    </row>
    <row r="409">
      <c r="T409" s="2"/>
    </row>
    <row r="410">
      <c r="T410" s="2"/>
    </row>
    <row r="411">
      <c r="T411" s="2"/>
    </row>
    <row r="412">
      <c r="T412" s="2"/>
    </row>
    <row r="413">
      <c r="T413" s="2"/>
    </row>
    <row r="414">
      <c r="T414" s="2"/>
    </row>
    <row r="415">
      <c r="T415" s="2"/>
    </row>
    <row r="416">
      <c r="T416" s="2"/>
    </row>
    <row r="417">
      <c r="T417" s="2"/>
    </row>
    <row r="418">
      <c r="T418" s="2"/>
    </row>
    <row r="419">
      <c r="T419" s="2"/>
    </row>
    <row r="420">
      <c r="T420" s="2"/>
    </row>
    <row r="421">
      <c r="T421" s="2"/>
    </row>
    <row r="422">
      <c r="T422" s="2"/>
    </row>
    <row r="423">
      <c r="T423" s="2"/>
    </row>
    <row r="424">
      <c r="T424" s="2"/>
    </row>
    <row r="425">
      <c r="T425" s="2"/>
    </row>
    <row r="426">
      <c r="T426" s="2"/>
    </row>
    <row r="427">
      <c r="T427" s="2"/>
    </row>
    <row r="428">
      <c r="T428" s="2"/>
    </row>
    <row r="429">
      <c r="T429" s="2"/>
    </row>
    <row r="430">
      <c r="T430" s="2"/>
    </row>
    <row r="431">
      <c r="T431" s="2"/>
    </row>
    <row r="432">
      <c r="T432" s="2"/>
    </row>
    <row r="433">
      <c r="T433" s="2"/>
    </row>
    <row r="434">
      <c r="T434" s="2"/>
    </row>
    <row r="435">
      <c r="T435" s="2"/>
    </row>
    <row r="436">
      <c r="T436" s="2"/>
    </row>
    <row r="437">
      <c r="T437" s="2"/>
    </row>
    <row r="438">
      <c r="T438" s="2"/>
    </row>
    <row r="439">
      <c r="T439" s="2"/>
    </row>
    <row r="440">
      <c r="T440" s="2"/>
    </row>
    <row r="441">
      <c r="T441" s="2"/>
    </row>
    <row r="442">
      <c r="T442" s="2"/>
    </row>
    <row r="443">
      <c r="T443" s="2"/>
    </row>
    <row r="444">
      <c r="T444" s="2"/>
    </row>
    <row r="445">
      <c r="T445" s="2"/>
    </row>
    <row r="446">
      <c r="T446" s="2"/>
    </row>
    <row r="447">
      <c r="T447" s="2"/>
    </row>
    <row r="448">
      <c r="T448" s="2"/>
    </row>
    <row r="449">
      <c r="T449" s="2"/>
    </row>
    <row r="450">
      <c r="T450" s="2"/>
    </row>
    <row r="451">
      <c r="T451" s="2"/>
    </row>
    <row r="452">
      <c r="T452" s="2"/>
    </row>
    <row r="453">
      <c r="T453" s="2"/>
    </row>
    <row r="454">
      <c r="T454" s="2"/>
    </row>
    <row r="455">
      <c r="T455" s="2"/>
    </row>
    <row r="456">
      <c r="T456" s="2"/>
    </row>
    <row r="457">
      <c r="T457" s="2"/>
    </row>
    <row r="458">
      <c r="T458" s="2"/>
    </row>
    <row r="459">
      <c r="T459" s="2"/>
    </row>
    <row r="460">
      <c r="T460" s="2"/>
    </row>
    <row r="461">
      <c r="T461" s="2"/>
    </row>
    <row r="462">
      <c r="T462" s="2"/>
    </row>
    <row r="463">
      <c r="T463" s="2"/>
    </row>
    <row r="464">
      <c r="T464" s="2"/>
    </row>
    <row r="465">
      <c r="T465" s="2"/>
    </row>
    <row r="466">
      <c r="T466" s="2"/>
    </row>
    <row r="467">
      <c r="T467" s="2"/>
    </row>
    <row r="468">
      <c r="T468" s="2"/>
    </row>
    <row r="469">
      <c r="T469" s="2"/>
    </row>
    <row r="470">
      <c r="T470" s="2"/>
    </row>
    <row r="471">
      <c r="T471" s="2"/>
    </row>
    <row r="472">
      <c r="T472" s="2"/>
    </row>
    <row r="473">
      <c r="T473" s="2"/>
    </row>
    <row r="474">
      <c r="T474" s="2"/>
    </row>
    <row r="475">
      <c r="T475" s="2"/>
    </row>
    <row r="476">
      <c r="T476" s="2"/>
    </row>
    <row r="477">
      <c r="T477" s="2"/>
    </row>
    <row r="478">
      <c r="T478" s="2"/>
    </row>
    <row r="479">
      <c r="T479" s="2"/>
    </row>
    <row r="480">
      <c r="T480" s="2"/>
    </row>
    <row r="481">
      <c r="T481" s="2"/>
    </row>
    <row r="482">
      <c r="T482" s="2"/>
    </row>
    <row r="483">
      <c r="T483" s="2"/>
    </row>
    <row r="484">
      <c r="T484" s="2"/>
    </row>
    <row r="485">
      <c r="T485" s="2"/>
    </row>
    <row r="486">
      <c r="T486" s="2"/>
    </row>
    <row r="487">
      <c r="T487" s="2"/>
    </row>
    <row r="488">
      <c r="T488" s="2"/>
    </row>
    <row r="489">
      <c r="T489" s="2"/>
    </row>
    <row r="490">
      <c r="T490" s="2"/>
    </row>
    <row r="491">
      <c r="T491" s="2"/>
    </row>
    <row r="492">
      <c r="T492" s="2"/>
    </row>
    <row r="493">
      <c r="T493" s="2"/>
    </row>
    <row r="494">
      <c r="T494" s="2"/>
    </row>
    <row r="495">
      <c r="T495" s="2"/>
    </row>
    <row r="496">
      <c r="T496" s="2"/>
    </row>
    <row r="497">
      <c r="T497" s="2"/>
    </row>
    <row r="498">
      <c r="T498" s="2"/>
    </row>
    <row r="499">
      <c r="T499" s="2"/>
    </row>
    <row r="500">
      <c r="T500" s="2"/>
    </row>
    <row r="501">
      <c r="T501" s="2"/>
    </row>
    <row r="502">
      <c r="T502" s="2"/>
    </row>
    <row r="503">
      <c r="T503" s="2"/>
    </row>
    <row r="504">
      <c r="T504" s="2"/>
    </row>
    <row r="505">
      <c r="T505" s="2"/>
    </row>
    <row r="506">
      <c r="T506" s="2"/>
    </row>
    <row r="507">
      <c r="T507" s="2"/>
    </row>
    <row r="508">
      <c r="T508" s="2"/>
    </row>
    <row r="509">
      <c r="T509" s="2"/>
    </row>
    <row r="510">
      <c r="T510" s="2"/>
    </row>
    <row r="511">
      <c r="T511" s="2"/>
    </row>
    <row r="512">
      <c r="T512" s="2"/>
    </row>
    <row r="513">
      <c r="T513" s="2"/>
    </row>
    <row r="514">
      <c r="T514" s="2"/>
    </row>
    <row r="515">
      <c r="T515" s="2"/>
    </row>
    <row r="516">
      <c r="T516" s="2"/>
    </row>
    <row r="517">
      <c r="T517" s="2"/>
    </row>
    <row r="518">
      <c r="T518" s="2"/>
    </row>
    <row r="519">
      <c r="T519" s="2"/>
    </row>
    <row r="520">
      <c r="T520" s="2"/>
    </row>
    <row r="521">
      <c r="T521" s="2"/>
    </row>
    <row r="522">
      <c r="T522" s="2"/>
    </row>
    <row r="523">
      <c r="T523" s="2"/>
    </row>
    <row r="524">
      <c r="T524" s="2"/>
    </row>
    <row r="525">
      <c r="T525" s="2"/>
    </row>
    <row r="526">
      <c r="T526" s="2"/>
    </row>
    <row r="527">
      <c r="T527" s="2"/>
    </row>
    <row r="528">
      <c r="T528" s="2"/>
    </row>
    <row r="529">
      <c r="T529" s="2"/>
    </row>
    <row r="530">
      <c r="T530" s="2"/>
    </row>
    <row r="531">
      <c r="T531" s="2"/>
    </row>
    <row r="532">
      <c r="T532" s="2"/>
    </row>
    <row r="533">
      <c r="T533" s="2"/>
    </row>
    <row r="534">
      <c r="T534" s="2"/>
    </row>
    <row r="535">
      <c r="T535" s="2"/>
    </row>
    <row r="536">
      <c r="T536" s="2"/>
    </row>
    <row r="537">
      <c r="T537" s="2"/>
    </row>
    <row r="538">
      <c r="T538" s="2"/>
    </row>
    <row r="539">
      <c r="T539" s="2"/>
    </row>
    <row r="540">
      <c r="T540" s="2"/>
    </row>
    <row r="541">
      <c r="T541" s="2"/>
    </row>
    <row r="542">
      <c r="T542" s="2"/>
    </row>
    <row r="543">
      <c r="T543" s="2"/>
    </row>
    <row r="544">
      <c r="T544" s="2"/>
    </row>
    <row r="545">
      <c r="T545" s="2"/>
    </row>
    <row r="546">
      <c r="T546" s="2"/>
    </row>
    <row r="547">
      <c r="T547" s="2"/>
    </row>
    <row r="548">
      <c r="T548" s="2"/>
    </row>
    <row r="549">
      <c r="T549" s="2"/>
    </row>
    <row r="550">
      <c r="T550" s="2"/>
    </row>
    <row r="551">
      <c r="T551" s="2"/>
    </row>
    <row r="552">
      <c r="T552" s="2"/>
    </row>
    <row r="553">
      <c r="T553" s="2"/>
    </row>
    <row r="554">
      <c r="T554" s="2"/>
    </row>
    <row r="555">
      <c r="T555" s="2"/>
    </row>
    <row r="556">
      <c r="T556" s="2"/>
    </row>
    <row r="557">
      <c r="T557" s="2"/>
    </row>
    <row r="558">
      <c r="T558" s="2"/>
    </row>
    <row r="559">
      <c r="T559" s="2"/>
    </row>
    <row r="560">
      <c r="T560" s="2"/>
    </row>
    <row r="561">
      <c r="T561" s="2"/>
    </row>
    <row r="562">
      <c r="T562" s="2"/>
    </row>
    <row r="563">
      <c r="T563" s="2"/>
    </row>
    <row r="564">
      <c r="T564" s="2"/>
    </row>
    <row r="565">
      <c r="T565" s="2"/>
    </row>
    <row r="566">
      <c r="T566" s="2"/>
    </row>
    <row r="567">
      <c r="T567" s="2"/>
    </row>
    <row r="568">
      <c r="T568" s="2"/>
    </row>
    <row r="569">
      <c r="T569" s="2"/>
    </row>
    <row r="570">
      <c r="T570" s="2"/>
    </row>
    <row r="571">
      <c r="T571" s="2"/>
    </row>
    <row r="572">
      <c r="T572" s="2"/>
    </row>
    <row r="573">
      <c r="T573" s="2"/>
    </row>
    <row r="574">
      <c r="T574" s="2"/>
    </row>
    <row r="575">
      <c r="T575" s="2"/>
    </row>
    <row r="576">
      <c r="T576" s="2"/>
    </row>
    <row r="577">
      <c r="T577" s="2"/>
    </row>
    <row r="578">
      <c r="T578" s="2"/>
    </row>
    <row r="579">
      <c r="T579" s="2"/>
    </row>
    <row r="580">
      <c r="T580" s="2"/>
    </row>
    <row r="581">
      <c r="T581" s="2"/>
    </row>
    <row r="582">
      <c r="T582" s="2"/>
    </row>
    <row r="583">
      <c r="T583" s="2"/>
    </row>
    <row r="584">
      <c r="T584" s="2"/>
    </row>
    <row r="585">
      <c r="T585" s="2"/>
    </row>
    <row r="586">
      <c r="T586" s="2"/>
    </row>
    <row r="587">
      <c r="T587" s="2"/>
    </row>
    <row r="588">
      <c r="T588" s="2"/>
    </row>
    <row r="589">
      <c r="T589" s="2"/>
    </row>
    <row r="590">
      <c r="T590" s="2"/>
    </row>
    <row r="591">
      <c r="T591" s="2"/>
    </row>
    <row r="592">
      <c r="T592" s="2"/>
    </row>
    <row r="593">
      <c r="T593" s="2"/>
    </row>
    <row r="594">
      <c r="T594" s="2"/>
    </row>
    <row r="595">
      <c r="T595" s="2"/>
    </row>
    <row r="596">
      <c r="T596" s="2"/>
    </row>
    <row r="597">
      <c r="T597" s="2"/>
    </row>
    <row r="598">
      <c r="T598" s="2"/>
    </row>
    <row r="599">
      <c r="T599" s="2"/>
    </row>
    <row r="600">
      <c r="T600" s="2"/>
    </row>
    <row r="601">
      <c r="T601" s="2"/>
    </row>
    <row r="602">
      <c r="T602" s="2"/>
    </row>
    <row r="603">
      <c r="T603" s="2"/>
    </row>
    <row r="604">
      <c r="T604" s="2"/>
    </row>
    <row r="605">
      <c r="T605" s="2"/>
    </row>
    <row r="606">
      <c r="T606" s="2"/>
    </row>
    <row r="607">
      <c r="T607" s="2"/>
    </row>
    <row r="608">
      <c r="T608" s="2"/>
    </row>
    <row r="609">
      <c r="T609" s="2"/>
    </row>
    <row r="610">
      <c r="T610" s="2"/>
    </row>
    <row r="611">
      <c r="T611" s="2"/>
    </row>
    <row r="612">
      <c r="T612" s="2"/>
    </row>
    <row r="613">
      <c r="T613" s="2"/>
    </row>
    <row r="614">
      <c r="T614" s="2"/>
    </row>
    <row r="615">
      <c r="T615" s="2"/>
    </row>
    <row r="616">
      <c r="T616" s="2"/>
    </row>
    <row r="617">
      <c r="T617" s="2"/>
    </row>
    <row r="618">
      <c r="T618" s="2"/>
    </row>
    <row r="619">
      <c r="T619" s="2"/>
    </row>
    <row r="620">
      <c r="T620" s="2"/>
    </row>
    <row r="621">
      <c r="T621" s="2"/>
    </row>
    <row r="622">
      <c r="T622" s="2"/>
    </row>
    <row r="623">
      <c r="T623" s="2"/>
    </row>
    <row r="624">
      <c r="T624" s="2"/>
    </row>
    <row r="625">
      <c r="T625" s="2"/>
    </row>
    <row r="626">
      <c r="T626" s="2"/>
    </row>
    <row r="627">
      <c r="T627" s="2"/>
    </row>
    <row r="628">
      <c r="T628" s="2"/>
    </row>
    <row r="629">
      <c r="T629" s="2"/>
    </row>
    <row r="630">
      <c r="T630" s="2"/>
    </row>
    <row r="631">
      <c r="T631" s="2"/>
    </row>
    <row r="632">
      <c r="T632" s="2"/>
    </row>
    <row r="633">
      <c r="T633" s="2"/>
    </row>
    <row r="634">
      <c r="T634" s="2"/>
    </row>
    <row r="635">
      <c r="T635" s="2"/>
    </row>
    <row r="636">
      <c r="T636" s="2"/>
    </row>
    <row r="637">
      <c r="T637" s="2"/>
    </row>
    <row r="638">
      <c r="T638" s="2"/>
    </row>
    <row r="639">
      <c r="T639" s="2"/>
    </row>
    <row r="640">
      <c r="T640" s="2"/>
    </row>
    <row r="641">
      <c r="T641" s="2"/>
    </row>
    <row r="642">
      <c r="T642" s="2"/>
    </row>
    <row r="643">
      <c r="T643" s="2"/>
    </row>
    <row r="644">
      <c r="T644" s="2"/>
    </row>
    <row r="645">
      <c r="T645" s="2"/>
    </row>
    <row r="646">
      <c r="T646" s="2"/>
    </row>
    <row r="647">
      <c r="T647" s="2"/>
    </row>
    <row r="648">
      <c r="T648" s="2"/>
    </row>
    <row r="649">
      <c r="T649" s="2"/>
    </row>
    <row r="650">
      <c r="T650" s="2"/>
    </row>
    <row r="651">
      <c r="T651" s="2"/>
    </row>
    <row r="652">
      <c r="T652" s="2"/>
    </row>
    <row r="653">
      <c r="T653" s="2"/>
    </row>
    <row r="654">
      <c r="T654" s="2"/>
    </row>
    <row r="655">
      <c r="T655" s="2"/>
    </row>
    <row r="656">
      <c r="T656" s="2"/>
    </row>
    <row r="657">
      <c r="T657" s="2"/>
    </row>
    <row r="658">
      <c r="T658" s="2"/>
    </row>
    <row r="659">
      <c r="T659" s="2"/>
    </row>
    <row r="660">
      <c r="T660" s="2"/>
    </row>
    <row r="661">
      <c r="T661" s="2"/>
    </row>
    <row r="662">
      <c r="T662" s="2"/>
    </row>
    <row r="663">
      <c r="T663" s="2"/>
    </row>
    <row r="664">
      <c r="T664" s="2"/>
    </row>
    <row r="665">
      <c r="T665" s="2"/>
    </row>
    <row r="666">
      <c r="T666" s="2"/>
    </row>
    <row r="667">
      <c r="T667" s="2"/>
    </row>
    <row r="668">
      <c r="T668" s="2"/>
    </row>
    <row r="669">
      <c r="T669" s="2"/>
    </row>
    <row r="670">
      <c r="T670" s="2"/>
    </row>
    <row r="671">
      <c r="T671" s="2"/>
    </row>
    <row r="672">
      <c r="T672" s="2"/>
    </row>
    <row r="673">
      <c r="T673" s="2"/>
    </row>
    <row r="674">
      <c r="T674" s="2"/>
    </row>
    <row r="675">
      <c r="T675" s="2"/>
    </row>
    <row r="676">
      <c r="T676" s="2"/>
    </row>
    <row r="677">
      <c r="T677" s="2"/>
    </row>
    <row r="678">
      <c r="T678" s="2"/>
    </row>
    <row r="679">
      <c r="T679" s="2"/>
    </row>
    <row r="680">
      <c r="T680" s="2"/>
    </row>
    <row r="681">
      <c r="T681" s="2"/>
    </row>
    <row r="682">
      <c r="T682" s="2"/>
    </row>
    <row r="683">
      <c r="T683" s="2"/>
    </row>
    <row r="684">
      <c r="T684" s="2"/>
    </row>
    <row r="685">
      <c r="T685" s="2"/>
    </row>
    <row r="686">
      <c r="T686" s="2"/>
    </row>
    <row r="687">
      <c r="T687" s="2"/>
    </row>
    <row r="688">
      <c r="T688" s="2"/>
    </row>
    <row r="689">
      <c r="T689" s="2"/>
    </row>
    <row r="690">
      <c r="T690" s="2"/>
    </row>
    <row r="691">
      <c r="T691" s="2"/>
    </row>
    <row r="692">
      <c r="T692" s="2"/>
    </row>
    <row r="693">
      <c r="T693" s="2"/>
    </row>
    <row r="694">
      <c r="T694" s="2"/>
    </row>
    <row r="695">
      <c r="T695" s="2"/>
    </row>
    <row r="696">
      <c r="T696" s="2"/>
    </row>
    <row r="697">
      <c r="T697" s="2"/>
    </row>
    <row r="698">
      <c r="T698" s="2"/>
    </row>
    <row r="699">
      <c r="T699" s="2"/>
    </row>
    <row r="700">
      <c r="T700" s="2"/>
    </row>
    <row r="701">
      <c r="T701" s="2"/>
    </row>
    <row r="702">
      <c r="T702" s="2"/>
    </row>
    <row r="703">
      <c r="T703" s="2"/>
    </row>
    <row r="704">
      <c r="T704" s="2"/>
    </row>
    <row r="705">
      <c r="T705" s="2"/>
    </row>
    <row r="706">
      <c r="T706" s="2"/>
    </row>
    <row r="707">
      <c r="T707" s="2"/>
    </row>
    <row r="708">
      <c r="T708" s="2"/>
    </row>
    <row r="709">
      <c r="T709" s="2"/>
    </row>
    <row r="710">
      <c r="T710" s="2"/>
    </row>
    <row r="711">
      <c r="T711" s="2"/>
    </row>
    <row r="712">
      <c r="T712" s="2"/>
    </row>
    <row r="713">
      <c r="T713" s="2"/>
    </row>
    <row r="714">
      <c r="T714" s="2"/>
    </row>
    <row r="715">
      <c r="T715" s="2"/>
    </row>
    <row r="716">
      <c r="T716" s="2"/>
    </row>
    <row r="717">
      <c r="T717" s="2"/>
    </row>
    <row r="718">
      <c r="T718" s="2"/>
    </row>
    <row r="719">
      <c r="T719" s="2"/>
    </row>
    <row r="720">
      <c r="T720" s="2"/>
    </row>
    <row r="721">
      <c r="T721" s="2"/>
    </row>
    <row r="722">
      <c r="T722" s="2"/>
    </row>
    <row r="723">
      <c r="T723" s="2"/>
    </row>
    <row r="724">
      <c r="T724" s="2"/>
    </row>
    <row r="725">
      <c r="T725" s="2"/>
    </row>
    <row r="726">
      <c r="T726" s="2"/>
    </row>
    <row r="727">
      <c r="T727" s="2"/>
    </row>
    <row r="728">
      <c r="T728" s="2"/>
    </row>
    <row r="729">
      <c r="T729" s="2"/>
    </row>
    <row r="730">
      <c r="T730" s="2"/>
    </row>
    <row r="731">
      <c r="T731" s="2"/>
    </row>
    <row r="732">
      <c r="T732" s="2"/>
    </row>
    <row r="733">
      <c r="T733" s="2"/>
    </row>
    <row r="734">
      <c r="T734" s="2"/>
    </row>
    <row r="735">
      <c r="T735" s="2"/>
    </row>
    <row r="736">
      <c r="T736" s="2"/>
    </row>
    <row r="737">
      <c r="T737" s="2"/>
    </row>
    <row r="738">
      <c r="T738" s="2"/>
    </row>
    <row r="739">
      <c r="T739" s="2"/>
    </row>
    <row r="740">
      <c r="T740" s="2"/>
    </row>
    <row r="741">
      <c r="T741" s="2"/>
    </row>
    <row r="742">
      <c r="T742" s="2"/>
    </row>
    <row r="743">
      <c r="T743" s="2"/>
    </row>
    <row r="744">
      <c r="T744" s="2"/>
    </row>
    <row r="745">
      <c r="T745" s="2"/>
    </row>
    <row r="746">
      <c r="T746" s="2"/>
    </row>
    <row r="747">
      <c r="T747" s="2"/>
    </row>
    <row r="748">
      <c r="T748" s="2"/>
    </row>
    <row r="749">
      <c r="T749" s="2"/>
    </row>
    <row r="750">
      <c r="T750" s="2"/>
    </row>
    <row r="751">
      <c r="T751" s="2"/>
    </row>
    <row r="752">
      <c r="T752" s="2"/>
    </row>
    <row r="753">
      <c r="T753" s="2"/>
    </row>
    <row r="754">
      <c r="T754" s="2"/>
    </row>
    <row r="755">
      <c r="T755" s="2"/>
    </row>
    <row r="756">
      <c r="T756" s="2"/>
    </row>
    <row r="757">
      <c r="T757" s="2"/>
    </row>
    <row r="758">
      <c r="T758" s="2"/>
    </row>
    <row r="759">
      <c r="T759" s="2"/>
    </row>
    <row r="760">
      <c r="T760" s="2"/>
    </row>
    <row r="761">
      <c r="T761" s="2"/>
    </row>
    <row r="762">
      <c r="T762" s="2"/>
    </row>
    <row r="763">
      <c r="T763" s="2"/>
    </row>
    <row r="764">
      <c r="T764" s="2"/>
    </row>
    <row r="765">
      <c r="T765" s="2"/>
    </row>
    <row r="766">
      <c r="T766" s="2"/>
    </row>
    <row r="767">
      <c r="T767" s="2"/>
    </row>
    <row r="768">
      <c r="T768" s="2"/>
    </row>
    <row r="769">
      <c r="T769" s="2"/>
    </row>
    <row r="770">
      <c r="T770" s="2"/>
    </row>
    <row r="771">
      <c r="T771" s="2"/>
    </row>
    <row r="772">
      <c r="T772" s="2"/>
    </row>
    <row r="773">
      <c r="T773" s="2"/>
    </row>
    <row r="774">
      <c r="T774" s="2"/>
    </row>
    <row r="775">
      <c r="T775" s="2"/>
    </row>
    <row r="776">
      <c r="T776" s="2"/>
    </row>
    <row r="777">
      <c r="T777" s="2"/>
    </row>
    <row r="778">
      <c r="T778" s="2"/>
    </row>
    <row r="779">
      <c r="T779" s="2"/>
    </row>
    <row r="780">
      <c r="T780" s="2"/>
    </row>
    <row r="781">
      <c r="T781" s="2"/>
    </row>
    <row r="782">
      <c r="T782" s="2"/>
    </row>
    <row r="783">
      <c r="T783" s="2"/>
    </row>
    <row r="784">
      <c r="T784" s="2"/>
    </row>
    <row r="785">
      <c r="T785" s="2"/>
    </row>
    <row r="786">
      <c r="T786" s="2"/>
    </row>
    <row r="787">
      <c r="T787" s="2"/>
    </row>
    <row r="788">
      <c r="T788" s="2"/>
    </row>
    <row r="789">
      <c r="T789" s="2"/>
    </row>
    <row r="790">
      <c r="T790" s="2"/>
    </row>
    <row r="791">
      <c r="T791" s="2"/>
    </row>
    <row r="792">
      <c r="T792" s="2"/>
    </row>
    <row r="793">
      <c r="T793" s="2"/>
    </row>
    <row r="794">
      <c r="T794" s="2"/>
    </row>
    <row r="795">
      <c r="T795" s="2"/>
    </row>
    <row r="796">
      <c r="T796" s="2"/>
    </row>
    <row r="797">
      <c r="T797" s="2"/>
    </row>
    <row r="798">
      <c r="T798" s="2"/>
    </row>
    <row r="799">
      <c r="T799" s="2"/>
    </row>
    <row r="800">
      <c r="T800" s="2"/>
    </row>
    <row r="801">
      <c r="T801" s="2"/>
    </row>
    <row r="802">
      <c r="T802" s="2"/>
    </row>
    <row r="803">
      <c r="T803" s="2"/>
    </row>
    <row r="804">
      <c r="T804" s="2"/>
    </row>
    <row r="805">
      <c r="T805" s="2"/>
    </row>
    <row r="806">
      <c r="T806" s="2"/>
    </row>
    <row r="807">
      <c r="T807" s="2"/>
    </row>
    <row r="808">
      <c r="T808" s="2"/>
    </row>
    <row r="809">
      <c r="T809" s="2"/>
    </row>
    <row r="810">
      <c r="T810" s="2"/>
    </row>
    <row r="811">
      <c r="T811" s="2"/>
    </row>
    <row r="812">
      <c r="T812" s="2"/>
    </row>
    <row r="813">
      <c r="T813" s="2"/>
    </row>
    <row r="814">
      <c r="T814" s="2"/>
    </row>
    <row r="815">
      <c r="T815" s="2"/>
    </row>
    <row r="816">
      <c r="T816" s="2"/>
    </row>
    <row r="817">
      <c r="T817" s="2"/>
    </row>
    <row r="818">
      <c r="T818" s="2"/>
    </row>
    <row r="819">
      <c r="T819" s="2"/>
    </row>
    <row r="820">
      <c r="T820" s="2"/>
    </row>
    <row r="821">
      <c r="T821" s="2"/>
    </row>
    <row r="822">
      <c r="T822" s="2"/>
    </row>
    <row r="823">
      <c r="T823" s="2"/>
    </row>
    <row r="824">
      <c r="T824" s="2"/>
    </row>
    <row r="825">
      <c r="T825" s="2"/>
    </row>
    <row r="826">
      <c r="T826" s="2"/>
    </row>
    <row r="827">
      <c r="T827" s="2"/>
    </row>
    <row r="828">
      <c r="T828" s="2"/>
    </row>
    <row r="829">
      <c r="T829" s="2"/>
    </row>
    <row r="830">
      <c r="T830" s="2"/>
    </row>
    <row r="831">
      <c r="T831" s="2"/>
    </row>
    <row r="832">
      <c r="T832" s="2"/>
    </row>
    <row r="833">
      <c r="T833" s="2"/>
    </row>
    <row r="834">
      <c r="T834" s="2"/>
    </row>
    <row r="835">
      <c r="T835" s="2"/>
    </row>
    <row r="836">
      <c r="T836" s="2"/>
    </row>
    <row r="837">
      <c r="T837" s="2"/>
    </row>
    <row r="838">
      <c r="T838" s="2"/>
    </row>
    <row r="839">
      <c r="T839" s="2"/>
    </row>
    <row r="840">
      <c r="T840" s="2"/>
    </row>
    <row r="841">
      <c r="T841" s="2"/>
    </row>
    <row r="842">
      <c r="T842" s="2"/>
    </row>
    <row r="843">
      <c r="T843" s="2"/>
    </row>
    <row r="844">
      <c r="T844" s="2"/>
    </row>
    <row r="845">
      <c r="T845" s="2"/>
    </row>
    <row r="846">
      <c r="T846" s="2"/>
    </row>
    <row r="847">
      <c r="T847" s="2"/>
    </row>
    <row r="848">
      <c r="T848" s="2"/>
    </row>
    <row r="849">
      <c r="T849" s="2"/>
    </row>
    <row r="850">
      <c r="T850" s="2"/>
    </row>
    <row r="851">
      <c r="T851" s="2"/>
    </row>
    <row r="852">
      <c r="T852" s="2"/>
    </row>
    <row r="853">
      <c r="T853" s="2"/>
    </row>
    <row r="854">
      <c r="T854" s="2"/>
    </row>
    <row r="855">
      <c r="T855" s="2"/>
    </row>
    <row r="856">
      <c r="T856" s="2"/>
    </row>
    <row r="857">
      <c r="T857" s="2"/>
    </row>
    <row r="858">
      <c r="T858" s="2"/>
    </row>
    <row r="859">
      <c r="T859" s="2"/>
    </row>
    <row r="860">
      <c r="T860" s="2"/>
    </row>
    <row r="861">
      <c r="T861" s="2"/>
    </row>
    <row r="862">
      <c r="T862" s="2"/>
    </row>
    <row r="863">
      <c r="T863" s="2"/>
    </row>
    <row r="864">
      <c r="T864" s="2"/>
    </row>
    <row r="865">
      <c r="T865" s="2"/>
    </row>
    <row r="866">
      <c r="T866" s="2"/>
    </row>
    <row r="867">
      <c r="T867" s="2"/>
    </row>
    <row r="868">
      <c r="T868" s="2"/>
    </row>
    <row r="869">
      <c r="T869" s="2"/>
    </row>
    <row r="870">
      <c r="T870" s="2"/>
    </row>
    <row r="871">
      <c r="T871" s="2"/>
    </row>
    <row r="872">
      <c r="T872" s="2"/>
    </row>
    <row r="873">
      <c r="T873" s="2"/>
    </row>
    <row r="874">
      <c r="T874" s="2"/>
    </row>
    <row r="875">
      <c r="T875" s="2"/>
    </row>
    <row r="876">
      <c r="T876" s="2"/>
    </row>
    <row r="877">
      <c r="T877" s="2"/>
    </row>
    <row r="878">
      <c r="T878" s="2"/>
    </row>
    <row r="879">
      <c r="T879" s="2"/>
    </row>
    <row r="880">
      <c r="T880" s="2"/>
    </row>
    <row r="881">
      <c r="T881" s="2"/>
    </row>
    <row r="882">
      <c r="T882" s="2"/>
    </row>
    <row r="883">
      <c r="T883" s="2"/>
    </row>
    <row r="884">
      <c r="T884" s="2"/>
    </row>
    <row r="885">
      <c r="T885" s="2"/>
    </row>
    <row r="886">
      <c r="T886" s="2"/>
    </row>
    <row r="887">
      <c r="T887" s="2"/>
    </row>
    <row r="888">
      <c r="T888" s="2"/>
    </row>
    <row r="889">
      <c r="T889" s="2"/>
    </row>
    <row r="890">
      <c r="T890" s="2"/>
    </row>
    <row r="891">
      <c r="T891" s="2"/>
    </row>
    <row r="892">
      <c r="T892" s="2"/>
    </row>
    <row r="893">
      <c r="T893" s="2"/>
    </row>
    <row r="894">
      <c r="T894" s="2"/>
    </row>
    <row r="895">
      <c r="T895" s="2"/>
    </row>
    <row r="896">
      <c r="T896" s="2"/>
    </row>
    <row r="897">
      <c r="T897" s="2"/>
    </row>
    <row r="898">
      <c r="T898" s="2"/>
    </row>
    <row r="899">
      <c r="T899" s="2"/>
    </row>
    <row r="900">
      <c r="T900" s="2"/>
    </row>
    <row r="901">
      <c r="T901" s="2"/>
    </row>
    <row r="902">
      <c r="T902" s="2"/>
    </row>
    <row r="903">
      <c r="T903" s="2"/>
    </row>
    <row r="904">
      <c r="T904" s="2"/>
    </row>
    <row r="905">
      <c r="T905" s="2"/>
    </row>
    <row r="906">
      <c r="T906" s="2"/>
    </row>
    <row r="907">
      <c r="T907" s="2"/>
    </row>
    <row r="908">
      <c r="T908" s="2"/>
    </row>
    <row r="909">
      <c r="T909" s="2"/>
    </row>
    <row r="910">
      <c r="T910" s="2"/>
    </row>
    <row r="911">
      <c r="T911" s="2"/>
    </row>
    <row r="912">
      <c r="T912" s="2"/>
    </row>
    <row r="913">
      <c r="T913" s="2"/>
    </row>
    <row r="914">
      <c r="T914" s="2"/>
    </row>
    <row r="915">
      <c r="T915" s="2"/>
    </row>
    <row r="916">
      <c r="T916" s="2"/>
    </row>
    <row r="917">
      <c r="T917" s="2"/>
    </row>
    <row r="918">
      <c r="T918" s="2"/>
    </row>
    <row r="919">
      <c r="T919" s="2"/>
    </row>
    <row r="920">
      <c r="T920" s="2"/>
    </row>
    <row r="921">
      <c r="T921" s="2"/>
    </row>
    <row r="922">
      <c r="T922" s="2"/>
    </row>
    <row r="923">
      <c r="T923" s="2"/>
    </row>
    <row r="924">
      <c r="T924" s="2"/>
    </row>
    <row r="925">
      <c r="T925" s="2"/>
    </row>
    <row r="926">
      <c r="T926" s="2"/>
    </row>
    <row r="927">
      <c r="T927" s="2"/>
    </row>
    <row r="928">
      <c r="T928" s="2"/>
    </row>
    <row r="929">
      <c r="T929" s="2"/>
    </row>
    <row r="930">
      <c r="T930" s="2"/>
    </row>
    <row r="931">
      <c r="T931" s="2"/>
    </row>
    <row r="932">
      <c r="T932" s="2"/>
    </row>
    <row r="933">
      <c r="T933" s="2"/>
    </row>
    <row r="934">
      <c r="T934" s="2"/>
    </row>
    <row r="935">
      <c r="T935" s="2"/>
    </row>
    <row r="936">
      <c r="T936" s="2"/>
    </row>
    <row r="937">
      <c r="T937" s="2"/>
    </row>
    <row r="938">
      <c r="T938" s="2"/>
    </row>
    <row r="939">
      <c r="T939" s="2"/>
    </row>
    <row r="940">
      <c r="T940" s="2"/>
    </row>
    <row r="941">
      <c r="T941" s="2"/>
    </row>
    <row r="942">
      <c r="T942" s="2"/>
    </row>
    <row r="943">
      <c r="T943" s="2"/>
    </row>
    <row r="944">
      <c r="T944" s="2"/>
    </row>
    <row r="945">
      <c r="T945" s="2"/>
    </row>
    <row r="946">
      <c r="T946" s="2"/>
    </row>
    <row r="947">
      <c r="T947" s="2"/>
    </row>
    <row r="948">
      <c r="T948" s="2"/>
    </row>
    <row r="949">
      <c r="T949" s="2"/>
    </row>
    <row r="950">
      <c r="T950" s="2"/>
    </row>
    <row r="951">
      <c r="T951" s="2"/>
    </row>
    <row r="952">
      <c r="T952" s="2"/>
    </row>
    <row r="953">
      <c r="T953" s="2"/>
    </row>
    <row r="954">
      <c r="T954" s="2"/>
    </row>
    <row r="955">
      <c r="T955" s="2"/>
    </row>
    <row r="956">
      <c r="T956" s="2"/>
    </row>
    <row r="957">
      <c r="T957" s="2"/>
    </row>
    <row r="958">
      <c r="T958" s="2"/>
    </row>
    <row r="959">
      <c r="T959" s="2"/>
    </row>
    <row r="960">
      <c r="T960" s="2"/>
    </row>
    <row r="961">
      <c r="T961" s="2"/>
    </row>
    <row r="962">
      <c r="T962" s="2"/>
    </row>
    <row r="963">
      <c r="T963" s="2"/>
    </row>
    <row r="964">
      <c r="T964" s="2"/>
    </row>
    <row r="965">
      <c r="T965" s="2"/>
    </row>
    <row r="966">
      <c r="T966" s="2"/>
    </row>
    <row r="967">
      <c r="T967" s="2"/>
    </row>
    <row r="968">
      <c r="T968" s="2"/>
    </row>
    <row r="969">
      <c r="T969" s="2"/>
    </row>
    <row r="970">
      <c r="T970" s="2"/>
    </row>
    <row r="971">
      <c r="T971" s="2"/>
    </row>
    <row r="972">
      <c r="T972" s="2"/>
    </row>
    <row r="973">
      <c r="T973" s="2"/>
    </row>
    <row r="974">
      <c r="T974" s="2"/>
    </row>
    <row r="975">
      <c r="T975" s="2"/>
    </row>
    <row r="976">
      <c r="T976" s="2"/>
    </row>
    <row r="977">
      <c r="T977" s="2"/>
    </row>
    <row r="978">
      <c r="T978" s="2"/>
    </row>
    <row r="979">
      <c r="T979" s="2"/>
    </row>
    <row r="980">
      <c r="T980" s="2"/>
    </row>
    <row r="981">
      <c r="T981" s="2"/>
    </row>
    <row r="982">
      <c r="T982" s="2"/>
    </row>
    <row r="983">
      <c r="T983" s="2"/>
    </row>
    <row r="984">
      <c r="T984" s="2"/>
    </row>
    <row r="985">
      <c r="T985" s="2"/>
    </row>
    <row r="986">
      <c r="T986" s="2"/>
    </row>
    <row r="987">
      <c r="T987" s="2"/>
    </row>
    <row r="988">
      <c r="T988" s="2"/>
    </row>
    <row r="989">
      <c r="T989" s="2"/>
    </row>
    <row r="990">
      <c r="T990" s="2"/>
    </row>
    <row r="991">
      <c r="T991" s="2"/>
    </row>
    <row r="992">
      <c r="T992" s="2"/>
    </row>
    <row r="993">
      <c r="T993" s="2"/>
    </row>
    <row r="994">
      <c r="T994" s="2"/>
    </row>
    <row r="995">
      <c r="T995" s="2"/>
    </row>
    <row r="996">
      <c r="T996" s="2"/>
    </row>
  </sheetData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7.13"/>
  </cols>
  <sheetData>
    <row r="1" ht="102.0" customHeight="1">
      <c r="A1" s="2" t="str">
        <f t="array" ref="A1">IFERROR(INDEX(SMP!$T:$T, (ROUNDUP(ROW()/2,0)-1)*5 + COLUMN() + 1), "")</f>
        <v/>
      </c>
      <c r="B1" s="2" t="str">
        <f t="array" ref="B1">IFERROR(INDEX(SMP!$T:$T, (ROUNDUP(ROW()/2,0)-1)*5 + COLUMN() + 1), "")</f>
        <v/>
      </c>
      <c r="C1" s="2" t="str">
        <f t="array" ref="C1">IFERROR(INDEX(SMP!$T:$T, (ROUNDUP(ROW()/2,0)-1)*5 + COLUMN() + 1), "")</f>
        <v/>
      </c>
      <c r="D1" s="2" t="str">
        <f t="array" ref="D1">IFERROR(INDEX(SMP!$T:$T, (ROUNDUP(ROW()/2,0)-1)*5 + COLUMN() + 1), "")</f>
        <v/>
      </c>
      <c r="E1" s="2" t="str">
        <f t="array" ref="E1">IFERROR(INDEX(SMP!$T:$T, (ROUNDUP(ROW()/2,0)-1)*5 + COLUMN() + 1), "")</f>
        <v/>
      </c>
    </row>
    <row r="2">
      <c r="A2" s="2" t="str">
        <f t="array" ref="A2">IFERROR(INDEX(SMP!$B:$B, (ROW()/2-1)*5 + COLUMN() + 1), "")</f>
        <v>SMP-PC-001-26</v>
      </c>
      <c r="B2" s="2" t="str">
        <f t="array" ref="B2">IFERROR(INDEX(SMP!$B:$B, (ROW()/2-1)*5 + COLUMN() + 1), "")</f>
        <v>SMP-PC-002-26</v>
      </c>
      <c r="C2" s="2" t="str">
        <f t="array" ref="C2">IFERROR(INDEX(SMP!$B:$B, (ROW()/2-1)*5 + COLUMN() + 1), "")</f>
        <v>SMP-PC-003-26</v>
      </c>
      <c r="D2" s="2" t="str">
        <f t="array" ref="D2">IFERROR(INDEX(SMP!$B:$B, (ROW()/2-1)*5 + COLUMN() + 1), "")</f>
        <v>SMP-PC-004-26</v>
      </c>
      <c r="E2" s="2" t="str">
        <f t="array" ref="E2">IFERROR(INDEX(SMP!$B:$B, (ROW()/2-1)*5 + COLUMN() + 1), "")</f>
        <v>SMP-PC-005-26</v>
      </c>
    </row>
    <row r="3" ht="102.0" customHeight="1">
      <c r="A3" s="2" t="str">
        <f t="array" ref="A3">IFERROR(INDEX(SMP!$T:$T, (ROUNDUP(ROW()/2,0)-1)*5 + COLUMN() + 1), "")</f>
        <v/>
      </c>
      <c r="B3" s="2" t="str">
        <f t="array" ref="B3">IFERROR(INDEX(SMP!$T:$T, (ROUNDUP(ROW()/2,0)-1)*5 + COLUMN() + 1), "")</f>
        <v/>
      </c>
      <c r="C3" s="2" t="str">
        <f t="array" ref="C3">IFERROR(INDEX(SMP!$T:$T, (ROUNDUP(ROW()/2,0)-1)*5 + COLUMN() + 1), "")</f>
        <v/>
      </c>
      <c r="D3" s="2" t="str">
        <f t="array" ref="D3">IFERROR(INDEX(SMP!$T:$T, (ROUNDUP(ROW()/2,0)-1)*5 + COLUMN() + 1), "")</f>
        <v/>
      </c>
      <c r="E3" s="2" t="str">
        <f t="array" ref="E3">IFERROR(INDEX(SMP!$T:$T, (ROUNDUP(ROW()/2,0)-1)*5 + COLUMN() + 1), "")</f>
        <v/>
      </c>
    </row>
    <row r="4">
      <c r="A4" s="2" t="str">
        <f t="array" ref="A4">IFERROR(INDEX(SMP!$B:$B, (ROW()/2-1)*5 + COLUMN() + 1), "")</f>
        <v>SMP-PC-006-26</v>
      </c>
      <c r="B4" s="2" t="str">
        <f t="array" ref="B4">IFERROR(INDEX(SMP!$B:$B, (ROW()/2-1)*5 + COLUMN() + 1), "")</f>
        <v>SMP-PC-007-26</v>
      </c>
      <c r="C4" s="2" t="str">
        <f t="array" ref="C4">IFERROR(INDEX(SMP!$B:$B, (ROW()/2-1)*5 + COLUMN() + 1), "")</f>
        <v>SMP-PC-008-26</v>
      </c>
      <c r="D4" s="2" t="str">
        <f t="array" ref="D4">IFERROR(INDEX(SMP!$B:$B, (ROW()/2-1)*5 + COLUMN() + 1), "")</f>
        <v>SMP-PC-009-26</v>
      </c>
      <c r="E4" s="2" t="str">
        <f t="array" ref="E4">IFERROR(INDEX(SMP!$B:$B, (ROW()/2-1)*5 + COLUMN() + 1), "")</f>
        <v>SMP-PC-0010-26</v>
      </c>
    </row>
    <row r="5" ht="102.0" customHeight="1">
      <c r="A5" s="2" t="str">
        <f t="array" ref="A5">IFERROR(INDEX(SMP!$T:$T, (ROUNDUP(ROW()/2,0)-1)*5 + COLUMN() + 1), "")</f>
        <v/>
      </c>
      <c r="B5" s="2" t="str">
        <f t="array" ref="B5">IFERROR(INDEX(SMP!$T:$T, (ROUNDUP(ROW()/2,0)-1)*5 + COLUMN() + 1), "")</f>
        <v/>
      </c>
      <c r="C5" s="2" t="str">
        <f t="array" ref="C5">IFERROR(INDEX(SMP!$T:$T, (ROUNDUP(ROW()/2,0)-1)*5 + COLUMN() + 1), "")</f>
        <v/>
      </c>
      <c r="D5" s="2" t="str">
        <f t="array" ref="D5">IFERROR(INDEX(SMP!$T:$T, (ROUNDUP(ROW()/2,0)-1)*5 + COLUMN() + 1), "")</f>
        <v/>
      </c>
      <c r="E5" s="2" t="str">
        <f t="array" ref="E5">IFERROR(INDEX(SMP!$T:$T, (ROUNDUP(ROW()/2,0)-1)*5 + COLUMN() + 1), "")</f>
        <v/>
      </c>
    </row>
    <row r="6">
      <c r="A6" s="2" t="str">
        <f t="array" ref="A6">IFERROR(INDEX(SMP!$B:$B, (ROW()/2-1)*5 + COLUMN() + 1), "")</f>
        <v>SMP-PC-0011-26</v>
      </c>
      <c r="B6" s="2" t="str">
        <f t="array" ref="B6">IFERROR(INDEX(SMP!$B:$B, (ROW()/2-1)*5 + COLUMN() + 1), "")</f>
        <v>SMP-PC-0012-26</v>
      </c>
      <c r="C6" s="2" t="str">
        <f t="array" ref="C6">IFERROR(INDEX(SMP!$B:$B, (ROW()/2-1)*5 + COLUMN() + 1), "")</f>
        <v>SMP-PC-0013-26</v>
      </c>
      <c r="D6" s="2" t="str">
        <f t="array" ref="D6">IFERROR(INDEX(SMP!$B:$B, (ROW()/2-1)*5 + COLUMN() + 1), "")</f>
        <v>SMP-PC-0014-26</v>
      </c>
      <c r="E6" s="2" t="str">
        <f t="array" ref="E6">IFERROR(INDEX(SMP!$B:$B, (ROW()/2-1)*5 + COLUMN() + 1), "")</f>
        <v>SMP-PC-0015-26</v>
      </c>
    </row>
    <row r="7" ht="102.0" customHeight="1">
      <c r="A7" s="2" t="str">
        <f t="array" ref="A7">IFERROR(INDEX(SMP!$T:$T, (ROUNDUP(ROW()/2,0)-1)*5 + COLUMN() + 1), "")</f>
        <v/>
      </c>
      <c r="B7" s="2" t="str">
        <f t="array" ref="B7">IFERROR(INDEX(SMP!$T:$T, (ROUNDUP(ROW()/2,0)-1)*5 + COLUMN() + 1), "")</f>
        <v/>
      </c>
      <c r="C7" s="2" t="str">
        <f t="array" ref="C7">IFERROR(INDEX(SMP!$T:$T, (ROUNDUP(ROW()/2,0)-1)*5 + COLUMN() + 1), "")</f>
        <v/>
      </c>
      <c r="D7" s="2" t="str">
        <f t="array" ref="D7">IFERROR(INDEX(SMP!$T:$T, (ROUNDUP(ROW()/2,0)-1)*5 + COLUMN() + 1), "")</f>
        <v/>
      </c>
      <c r="E7" s="2" t="str">
        <f t="array" ref="E7">IFERROR(INDEX(SMP!$T:$T, (ROUNDUP(ROW()/2,0)-1)*5 + COLUMN() + 1), "")</f>
        <v/>
      </c>
    </row>
    <row r="8">
      <c r="A8" s="2" t="str">
        <f t="array" ref="A8">IFERROR(INDEX(SMP!$B:$B, (ROW()/2-1)*5 + COLUMN() + 1), "")</f>
        <v>SMP-PC-0016-26</v>
      </c>
      <c r="B8" s="2" t="str">
        <f t="array" ref="B8">IFERROR(INDEX(SMP!$B:$B, (ROW()/2-1)*5 + COLUMN() + 1), "")</f>
        <v>SMP-PC-0017-26</v>
      </c>
      <c r="C8" s="2" t="str">
        <f t="array" ref="C8">IFERROR(INDEX(SMP!$B:$B, (ROW()/2-1)*5 + COLUMN() + 1), "")</f>
        <v>SMP-PC-0018-26</v>
      </c>
      <c r="D8" s="2" t="str">
        <f t="array" ref="D8">IFERROR(INDEX(SMP!$B:$B, (ROW()/2-1)*5 + COLUMN() + 1), "")</f>
        <v>SMP-PC-0019-26</v>
      </c>
      <c r="E8" s="2" t="str">
        <f t="array" ref="E8">IFERROR(INDEX(SMP!$B:$B, (ROW()/2-1)*5 + COLUMN() + 1), "")</f>
        <v>SMP-PC-0020-26</v>
      </c>
    </row>
    <row r="9" ht="102.0" customHeight="1">
      <c r="A9" s="2" t="str">
        <f t="array" ref="A9">IFERROR(INDEX(SMP!$T:$T, (ROUNDUP(ROW()/2,0)-1)*5 + COLUMN() + 1), "")</f>
        <v/>
      </c>
      <c r="B9" s="2" t="str">
        <f t="array" ref="B9">IFERROR(INDEX(SMP!$T:$T, (ROUNDUP(ROW()/2,0)-1)*5 + COLUMN() + 1), "")</f>
        <v/>
      </c>
      <c r="C9" s="2" t="str">
        <f t="array" ref="C9">IFERROR(INDEX(SMP!$T:$T, (ROUNDUP(ROW()/2,0)-1)*5 + COLUMN() + 1), "")</f>
        <v/>
      </c>
      <c r="D9" s="2" t="str">
        <f t="array" ref="D9">IFERROR(INDEX(SMP!$T:$T, (ROUNDUP(ROW()/2,0)-1)*5 + COLUMN() + 1), "")</f>
        <v/>
      </c>
      <c r="E9" s="2" t="str">
        <f t="array" ref="E9">IFERROR(INDEX(SMP!$T:$T, (ROUNDUP(ROW()/2,0)-1)*5 + COLUMN() + 1), "")</f>
        <v/>
      </c>
    </row>
    <row r="10">
      <c r="A10" s="2" t="str">
        <f t="array" ref="A10">IFERROR(INDEX(SMP!$B:$B, (ROW()/2-1)*5 + COLUMN() + 1), "")</f>
        <v>SMP-PC-0021-26</v>
      </c>
      <c r="B10" s="2" t="str">
        <f t="array" ref="B10">IFERROR(INDEX(SMP!$B:$B, (ROW()/2-1)*5 + COLUMN() + 1), "")</f>
        <v>SMP-PC-0022-26</v>
      </c>
      <c r="C10" s="2" t="str">
        <f t="array" ref="C10">IFERROR(INDEX(SMP!$B:$B, (ROW()/2-1)*5 + COLUMN() + 1), "")</f>
        <v>SMP-PC-0023-26</v>
      </c>
      <c r="D10" s="2" t="str">
        <f t="array" ref="D10">IFERROR(INDEX(SMP!$B:$B, (ROW()/2-1)*5 + COLUMN() + 1), "")</f>
        <v>SMP-PC-0024-26</v>
      </c>
      <c r="E10" s="2" t="str">
        <f t="array" ref="E10">IFERROR(INDEX(SMP!$B:$B, (ROW()/2-1)*5 + COLUMN() + 1), "")</f>
        <v>SMP-PC-0025-26</v>
      </c>
    </row>
    <row r="11" ht="102.0" customHeight="1">
      <c r="A11" s="2" t="str">
        <f t="array" ref="A11">IFERROR(INDEX(SMP!$T:$T, (ROUNDUP(ROW()/2,0)-1)*5 + COLUMN() + 1), "")</f>
        <v/>
      </c>
      <c r="B11" s="2" t="str">
        <f t="array" ref="B11">IFERROR(INDEX(SMP!$T:$T, (ROUNDUP(ROW()/2,0)-1)*5 + COLUMN() + 1), "")</f>
        <v/>
      </c>
      <c r="C11" s="2" t="str">
        <f t="array" ref="C11">IFERROR(INDEX(SMP!$T:$T, (ROUNDUP(ROW()/2,0)-1)*5 + COLUMN() + 1), "")</f>
        <v/>
      </c>
      <c r="D11" s="2" t="str">
        <f t="array" ref="D11">IFERROR(INDEX(SMP!$T:$T, (ROUNDUP(ROW()/2,0)-1)*5 + COLUMN() + 1), "")</f>
        <v/>
      </c>
      <c r="E11" s="2" t="str">
        <f t="array" ref="E11">IFERROR(INDEX(SMP!$T:$T, (ROUNDUP(ROW()/2,0)-1)*5 + COLUMN() + 1), "")</f>
        <v/>
      </c>
    </row>
    <row r="12">
      <c r="A12" s="2" t="str">
        <f t="array" ref="A12">IFERROR(INDEX(SMP!$B:$B, (ROW()/2-1)*5 + COLUMN() + 1), "")</f>
        <v>SMP-PC-0026-26</v>
      </c>
      <c r="B12" s="2" t="str">
        <f t="array" ref="B12">IFERROR(INDEX(SMP!$B:$B, (ROW()/2-1)*5 + COLUMN() + 1), "")</f>
        <v>SMP-PC-0027-26</v>
      </c>
      <c r="C12" s="2" t="str">
        <f t="array" ref="C12">IFERROR(INDEX(SMP!$B:$B, (ROW()/2-1)*5 + COLUMN() + 1), "")</f>
        <v>SMP-PC-0028-26</v>
      </c>
      <c r="D12" s="2" t="str">
        <f t="array" ref="D12">IFERROR(INDEX(SMP!$B:$B, (ROW()/2-1)*5 + COLUMN() + 1), "")</f>
        <v>SMP-PC-0029-26</v>
      </c>
      <c r="E12" s="2" t="str">
        <f t="array" ref="E12">IFERROR(INDEX(SMP!$B:$B, (ROW()/2-1)*5 + COLUMN() + 1), "")</f>
        <v>SMP-PC-0030-26</v>
      </c>
    </row>
    <row r="13" ht="102.0" customHeight="1">
      <c r="A13" s="2" t="str">
        <f t="array" ref="A13">IFERROR(INDEX(SMP!$T:$T, (ROUNDUP(ROW()/2,0)-1)*5 + COLUMN() + 1), "")</f>
        <v/>
      </c>
      <c r="B13" s="2"/>
      <c r="C13" s="2"/>
      <c r="D13" s="2"/>
      <c r="E13" s="2"/>
    </row>
    <row r="14">
      <c r="A14" s="2" t="str">
        <f t="array" ref="A14">IFERROR(INDEX(SMP!$B:$B, (ROW()/2-1)*5 + COLUMN() + 1), "")</f>
        <v>SMP-PC-0031-26</v>
      </c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</sheetData>
  <drawing r:id="rId1"/>
</worksheet>
</file>